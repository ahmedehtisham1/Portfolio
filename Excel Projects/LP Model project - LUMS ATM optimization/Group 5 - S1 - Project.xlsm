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hmedehtisham/Desktop/LUMS/DISC 212/Project/1. Finalized stuff/"/>
    </mc:Choice>
  </mc:AlternateContent>
  <xr:revisionPtr revIDLastSave="0" documentId="13_ncr:1_{DA6AEBAA-A051-C145-A2D7-8F5DCA51D4A0}" xr6:coauthVersionLast="47" xr6:coauthVersionMax="47" xr10:uidLastSave="{00000000-0000-0000-0000-000000000000}"/>
  <bookViews>
    <workbookView xWindow="0" yWindow="500" windowWidth="23260" windowHeight="12460" activeTab="2" xr2:uid="{9C8731A8-8E12-BC49-B3DD-C3657240F09E}"/>
  </bookViews>
  <sheets>
    <sheet name="Main Sheet " sheetId="9" r:id="rId1"/>
    <sheet name="Demand" sheetId="3" r:id="rId2"/>
    <sheet name="Main Sheet - Solver run" sheetId="10" r:id="rId3"/>
    <sheet name="Main Sheet  (2)" sheetId="11" r:id="rId4"/>
  </sheets>
  <definedNames>
    <definedName name="solver_adj" localSheetId="0" hidden="1">'Main Sheet '!$AH$4:$BK$4</definedName>
    <definedName name="solver_adj" localSheetId="3" hidden="1">'Main Sheet  (2)'!$AH$4:$BK$4</definedName>
    <definedName name="solver_adj" localSheetId="2" hidden="1">'Main Sheet - Solver run'!$AI$4:$BL$4</definedName>
    <definedName name="solver_cvg" localSheetId="0" hidden="1">0.0001</definedName>
    <definedName name="solver_cvg" localSheetId="3" hidden="1">0.0001</definedName>
    <definedName name="solver_cvg" localSheetId="2" hidden="1">0.0001</definedName>
    <definedName name="solver_drv" localSheetId="0" hidden="1">1</definedName>
    <definedName name="solver_drv" localSheetId="3" hidden="1">1</definedName>
    <definedName name="solver_drv" localSheetId="2" hidden="1">1</definedName>
    <definedName name="solver_eng" localSheetId="0" hidden="1">2</definedName>
    <definedName name="solver_eng" localSheetId="3" hidden="1">2</definedName>
    <definedName name="solver_eng" localSheetId="2" hidden="1">2</definedName>
    <definedName name="solver_est" localSheetId="0" hidden="1">1</definedName>
    <definedName name="solver_est" localSheetId="3" hidden="1">1</definedName>
    <definedName name="solver_est" localSheetId="2" hidden="1">1</definedName>
    <definedName name="solver_itr" localSheetId="0" hidden="1">2147483647</definedName>
    <definedName name="solver_itr" localSheetId="3" hidden="1">2147483647</definedName>
    <definedName name="solver_itr" localSheetId="2" hidden="1">2147483647</definedName>
    <definedName name="solver_lhs1" localSheetId="0" hidden="1">'Main Sheet '!$AI$4</definedName>
    <definedName name="solver_lhs1" localSheetId="3" hidden="1">'Main Sheet  (2)'!$BM$31:$BM$60</definedName>
    <definedName name="solver_lhs1" localSheetId="2" hidden="1">'Main Sheet - Solver run'!$AJ$4</definedName>
    <definedName name="solver_lhs2" localSheetId="0" hidden="1">'Main Sheet '!$AL$4</definedName>
    <definedName name="solver_lhs2" localSheetId="3" hidden="1">'Main Sheet  (2)'!$BM$5:$BM$30</definedName>
    <definedName name="solver_lhs2" localSheetId="2" hidden="1">'Main Sheet - Solver run'!$AM$4</definedName>
    <definedName name="solver_lhs3" localSheetId="0" hidden="1">'Main Sheet '!$AR$4</definedName>
    <definedName name="solver_lhs3" localSheetId="3" hidden="1">'Main Sheet  (2)'!$BM$61</definedName>
    <definedName name="solver_lhs3" localSheetId="2" hidden="1">'Main Sheet - Solver run'!$AS$4</definedName>
    <definedName name="solver_lhs4" localSheetId="0" hidden="1">'Main Sheet '!$BG$4</definedName>
    <definedName name="solver_lhs4" localSheetId="3" hidden="1">'Main Sheet  (2)'!$BM$62:$BM$65</definedName>
    <definedName name="solver_lhs4" localSheetId="2" hidden="1">'Main Sheet - Solver run'!$BH$4</definedName>
    <definedName name="solver_lhs5" localSheetId="0" hidden="1">'Main Sheet '!$BM$31:$BM$60</definedName>
    <definedName name="solver_lhs5" localSheetId="3" hidden="1">'Main Sheet  (2)'!$BN$3</definedName>
    <definedName name="solver_lhs5" localSheetId="2" hidden="1">'Main Sheet - Solver run'!$BN$31:$BN$60</definedName>
    <definedName name="solver_lhs6" localSheetId="0" hidden="1">'Main Sheet '!$BM$5:$BM$30</definedName>
    <definedName name="solver_lhs6" localSheetId="3" hidden="1">'Main Sheet  (2)'!$BM$5:$BM$30</definedName>
    <definedName name="solver_lhs6" localSheetId="2" hidden="1">'Main Sheet - Solver run'!$BN$5:$BN$30</definedName>
    <definedName name="solver_lhs7" localSheetId="0" hidden="1">'Main Sheet '!$BM$61</definedName>
    <definedName name="solver_lhs7" localSheetId="3" hidden="1">'Main Sheet  (2)'!$BM$61</definedName>
    <definedName name="solver_lhs7" localSheetId="2" hidden="1">'Main Sheet - Solver run'!$BN$61</definedName>
    <definedName name="solver_lhs8" localSheetId="0" hidden="1">'Main Sheet '!$BM$62:$BM$65</definedName>
    <definedName name="solver_lhs8" localSheetId="3" hidden="1">'Main Sheet  (2)'!$BM$62:$BM$65</definedName>
    <definedName name="solver_lhs8" localSheetId="2" hidden="1">'Main Sheet - Solver run'!$BN$62:$BN$65</definedName>
    <definedName name="solver_lhs9" localSheetId="0" hidden="1">'Main Sheet '!$BN$3</definedName>
    <definedName name="solver_lhs9" localSheetId="3" hidden="1">'Main Sheet  (2)'!$BN$3</definedName>
    <definedName name="solver_lhs9" localSheetId="2" hidden="1">'Main Sheet - Solver run'!$BO$3</definedName>
    <definedName name="solver_lin" localSheetId="0" hidden="1">2</definedName>
    <definedName name="solver_lin" localSheetId="3" hidden="1">1</definedName>
    <definedName name="solver_lin" localSheetId="2" hidden="1">1</definedName>
    <definedName name="solver_mip" localSheetId="0" hidden="1">2147483647</definedName>
    <definedName name="solver_mip" localSheetId="3" hidden="1">2147483647</definedName>
    <definedName name="solver_mip" localSheetId="2" hidden="1">2147483647</definedName>
    <definedName name="solver_mni" localSheetId="0" hidden="1">30</definedName>
    <definedName name="solver_mni" localSheetId="3" hidden="1">30</definedName>
    <definedName name="solver_mni" localSheetId="2" hidden="1">30</definedName>
    <definedName name="solver_mrt" localSheetId="0" hidden="1">0.075</definedName>
    <definedName name="solver_mrt" localSheetId="3" hidden="1">0.075</definedName>
    <definedName name="solver_mrt" localSheetId="2" hidden="1">0.075</definedName>
    <definedName name="solver_msl" localSheetId="0" hidden="1">2</definedName>
    <definedName name="solver_msl" localSheetId="3" hidden="1">2</definedName>
    <definedName name="solver_msl" localSheetId="2" hidden="1">2</definedName>
    <definedName name="solver_neg" localSheetId="0" hidden="1">1</definedName>
    <definedName name="solver_neg" localSheetId="3" hidden="1">1</definedName>
    <definedName name="solver_neg" localSheetId="2" hidden="1">1</definedName>
    <definedName name="solver_nod" localSheetId="0" hidden="1">2147483647</definedName>
    <definedName name="solver_nod" localSheetId="3" hidden="1">2147483647</definedName>
    <definedName name="solver_nod" localSheetId="2" hidden="1">2147483647</definedName>
    <definedName name="solver_num" localSheetId="0" hidden="1">9</definedName>
    <definedName name="solver_num" localSheetId="3" hidden="1">5</definedName>
    <definedName name="solver_num" localSheetId="2" hidden="1">9</definedName>
    <definedName name="solver_nwt" localSheetId="0" hidden="1">1</definedName>
    <definedName name="solver_nwt" localSheetId="3" hidden="1">1</definedName>
    <definedName name="solver_nwt" localSheetId="2" hidden="1">1</definedName>
    <definedName name="solver_opt" localSheetId="0" hidden="1">'Main Sheet '!$BM$3</definedName>
    <definedName name="solver_opt" localSheetId="3" hidden="1">'Main Sheet  (2)'!$BM$3</definedName>
    <definedName name="solver_opt" localSheetId="2" hidden="1">'Main Sheet - Solver run'!$BN$3</definedName>
    <definedName name="solver_pre" localSheetId="0" hidden="1">0.000001</definedName>
    <definedName name="solver_pre" localSheetId="3" hidden="1">0.000001</definedName>
    <definedName name="solver_pre" localSheetId="2" hidden="1">0.000001</definedName>
    <definedName name="solver_rbv" localSheetId="0" hidden="1">1</definedName>
    <definedName name="solver_rbv" localSheetId="3" hidden="1">1</definedName>
    <definedName name="solver_rbv" localSheetId="2" hidden="1">1</definedName>
    <definedName name="solver_rel1" localSheetId="0" hidden="1">2</definedName>
    <definedName name="solver_rel1" localSheetId="3" hidden="1">3</definedName>
    <definedName name="solver_rel1" localSheetId="2" hidden="1">2</definedName>
    <definedName name="solver_rel2" localSheetId="0" hidden="1">2</definedName>
    <definedName name="solver_rel2" localSheetId="3" hidden="1">2</definedName>
    <definedName name="solver_rel2" localSheetId="2" hidden="1">2</definedName>
    <definedName name="solver_rel3" localSheetId="0" hidden="1">2</definedName>
    <definedName name="solver_rel3" localSheetId="3" hidden="1">2</definedName>
    <definedName name="solver_rel3" localSheetId="2" hidden="1">2</definedName>
    <definedName name="solver_rel4" localSheetId="0" hidden="1">2</definedName>
    <definedName name="solver_rel4" localSheetId="3" hidden="1">2</definedName>
    <definedName name="solver_rel4" localSheetId="2" hidden="1">2</definedName>
    <definedName name="solver_rel5" localSheetId="0" hidden="1">3</definedName>
    <definedName name="solver_rel5" localSheetId="3" hidden="1">2</definedName>
    <definedName name="solver_rel5" localSheetId="2" hidden="1">3</definedName>
    <definedName name="solver_rel6" localSheetId="0" hidden="1">2</definedName>
    <definedName name="solver_rel6" localSheetId="3" hidden="1">2</definedName>
    <definedName name="solver_rel6" localSheetId="2" hidden="1">2</definedName>
    <definedName name="solver_rel7" localSheetId="0" hidden="1">2</definedName>
    <definedName name="solver_rel7" localSheetId="3" hidden="1">2</definedName>
    <definedName name="solver_rel7" localSheetId="2" hidden="1">2</definedName>
    <definedName name="solver_rel8" localSheetId="0" hidden="1">2</definedName>
    <definedName name="solver_rel8" localSheetId="3" hidden="1">2</definedName>
    <definedName name="solver_rel8" localSheetId="2" hidden="1">2</definedName>
    <definedName name="solver_rel9" localSheetId="0" hidden="1">2</definedName>
    <definedName name="solver_rel9" localSheetId="3" hidden="1">2</definedName>
    <definedName name="solver_rel9" localSheetId="2" hidden="1">2</definedName>
    <definedName name="solver_rhs1" localSheetId="0" hidden="1">1</definedName>
    <definedName name="solver_rhs1" localSheetId="3" hidden="1">'Main Sheet  (2)'!$BO$31:$BO$60</definedName>
    <definedName name="solver_rhs1" localSheetId="2" hidden="1">1</definedName>
    <definedName name="solver_rhs2" localSheetId="0" hidden="1">1</definedName>
    <definedName name="solver_rhs2" localSheetId="3" hidden="1">'Main Sheet  (2)'!$BO$5:$BO$30</definedName>
    <definedName name="solver_rhs2" localSheetId="2" hidden="1">1</definedName>
    <definedName name="solver_rhs3" localSheetId="0" hidden="1">1</definedName>
    <definedName name="solver_rhs3" localSheetId="3" hidden="1">'Main Sheet  (2)'!$BO$61</definedName>
    <definedName name="solver_rhs3" localSheetId="2" hidden="1">1</definedName>
    <definedName name="solver_rhs4" localSheetId="0" hidden="1">1</definedName>
    <definedName name="solver_rhs4" localSheetId="3" hidden="1">'Main Sheet  (2)'!$BO$62:$BO$65</definedName>
    <definedName name="solver_rhs4" localSheetId="2" hidden="1">1</definedName>
    <definedName name="solver_rhs5" localSheetId="0" hidden="1">'Main Sheet '!$BO$31:$BO$60</definedName>
    <definedName name="solver_rhs5" localSheetId="3" hidden="1">5</definedName>
    <definedName name="solver_rhs5" localSheetId="2" hidden="1">'Main Sheet - Solver run'!$BP$31:$BP$60</definedName>
    <definedName name="solver_rhs6" localSheetId="0" hidden="1">'Main Sheet '!$BO$5:$BO$30</definedName>
    <definedName name="solver_rhs6" localSheetId="3" hidden="1">'Main Sheet  (2)'!$BO$5:$BO$30</definedName>
    <definedName name="solver_rhs6" localSheetId="2" hidden="1">'Main Sheet - Solver run'!$BP$5:$BP$30</definedName>
    <definedName name="solver_rhs7" localSheetId="0" hidden="1">'Main Sheet '!$BO$61</definedName>
    <definedName name="solver_rhs7" localSheetId="3" hidden="1">'Main Sheet  (2)'!$BO$61</definedName>
    <definedName name="solver_rhs7" localSheetId="2" hidden="1">'Main Sheet - Solver run'!$BP$61</definedName>
    <definedName name="solver_rhs8" localSheetId="0" hidden="1">'Main Sheet '!$BO$62:$BO$65</definedName>
    <definedName name="solver_rhs8" localSheetId="3" hidden="1">'Main Sheet  (2)'!$BO$62:$BO$65</definedName>
    <definedName name="solver_rhs8" localSheetId="2" hidden="1">'Main Sheet - Solver run'!$BP$62:$BP$65</definedName>
    <definedName name="solver_rhs9" localSheetId="0" hidden="1">5</definedName>
    <definedName name="solver_rhs9" localSheetId="3" hidden="1">5</definedName>
    <definedName name="solver_rhs9" localSheetId="2" hidden="1">5</definedName>
    <definedName name="solver_rlx" localSheetId="0" hidden="1">2</definedName>
    <definedName name="solver_rlx" localSheetId="3" hidden="1">2</definedName>
    <definedName name="solver_rlx" localSheetId="2" hidden="1">2</definedName>
    <definedName name="solver_rsd" localSheetId="0" hidden="1">0</definedName>
    <definedName name="solver_rsd" localSheetId="3" hidden="1">0</definedName>
    <definedName name="solver_rsd" localSheetId="2" hidden="1">0</definedName>
    <definedName name="solver_scl" localSheetId="0" hidden="1">1</definedName>
    <definedName name="solver_scl" localSheetId="3" hidden="1">1</definedName>
    <definedName name="solver_scl" localSheetId="2" hidden="1">1</definedName>
    <definedName name="solver_sho" localSheetId="0" hidden="1">2</definedName>
    <definedName name="solver_sho" localSheetId="3" hidden="1">2</definedName>
    <definedName name="solver_sho" localSheetId="2" hidden="1">2</definedName>
    <definedName name="solver_ssz" localSheetId="0" hidden="1">100</definedName>
    <definedName name="solver_ssz" localSheetId="3" hidden="1">100</definedName>
    <definedName name="solver_ssz" localSheetId="2" hidden="1">100</definedName>
    <definedName name="solver_tim" localSheetId="0" hidden="1">2147483647</definedName>
    <definedName name="solver_tim" localSheetId="3" hidden="1">2147483647</definedName>
    <definedName name="solver_tim" localSheetId="2" hidden="1">2147483647</definedName>
    <definedName name="solver_tol" localSheetId="0" hidden="1">0.01</definedName>
    <definedName name="solver_tol" localSheetId="3" hidden="1">0.01</definedName>
    <definedName name="solver_tol" localSheetId="2" hidden="1">0.01</definedName>
    <definedName name="solver_typ" localSheetId="0" hidden="1">1</definedName>
    <definedName name="solver_typ" localSheetId="3" hidden="1">1</definedName>
    <definedName name="solver_typ" localSheetId="2" hidden="1">1</definedName>
    <definedName name="solver_val" localSheetId="0" hidden="1">0</definedName>
    <definedName name="solver_val" localSheetId="3" hidden="1">0</definedName>
    <definedName name="solver_val" localSheetId="2" hidden="1">0</definedName>
    <definedName name="solver_ver" localSheetId="0" hidden="1">3</definedName>
    <definedName name="solver_ver" localSheetId="3" hidden="1">2</definedName>
    <definedName name="solver_ver" localSheetId="2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61" i="11" l="1"/>
  <c r="BM60" i="11"/>
  <c r="BM59" i="11"/>
  <c r="BM58" i="11"/>
  <c r="BM57" i="11"/>
  <c r="BM56" i="11"/>
  <c r="BM55" i="11"/>
  <c r="BM54" i="11"/>
  <c r="BM53" i="11"/>
  <c r="BM52" i="11"/>
  <c r="BM51" i="11"/>
  <c r="BM50" i="11"/>
  <c r="BM49" i="11"/>
  <c r="BM48" i="11"/>
  <c r="BM47" i="11"/>
  <c r="BM46" i="11"/>
  <c r="BM45" i="11"/>
  <c r="BM44" i="11"/>
  <c r="BM43" i="11"/>
  <c r="BM42" i="11"/>
  <c r="BM41" i="11"/>
  <c r="BM40" i="11"/>
  <c r="BM39" i="11"/>
  <c r="BM38" i="11"/>
  <c r="BM37" i="11"/>
  <c r="BM36" i="11"/>
  <c r="BM35" i="11"/>
  <c r="BM34" i="11"/>
  <c r="BM33" i="11"/>
  <c r="BM32" i="11"/>
  <c r="BM31" i="11"/>
  <c r="BM30" i="11"/>
  <c r="BM29" i="11"/>
  <c r="BM28" i="11"/>
  <c r="BM27" i="11"/>
  <c r="BM26" i="11"/>
  <c r="BM25" i="11"/>
  <c r="BM24" i="11"/>
  <c r="BM23" i="11"/>
  <c r="BM22" i="11"/>
  <c r="BM21" i="11"/>
  <c r="BM20" i="11"/>
  <c r="BM19" i="11"/>
  <c r="BM18" i="11"/>
  <c r="BM17" i="11"/>
  <c r="BM16" i="11"/>
  <c r="BM15" i="11"/>
  <c r="BM14" i="11"/>
  <c r="BM13" i="11"/>
  <c r="BM12" i="11"/>
  <c r="BM11" i="11"/>
  <c r="BM10" i="11"/>
  <c r="BM9" i="11"/>
  <c r="BM8" i="11"/>
  <c r="BM7" i="11"/>
  <c r="BM6" i="11"/>
  <c r="BM5" i="11"/>
  <c r="BN3" i="11"/>
  <c r="BM3" i="11"/>
  <c r="BN65" i="10"/>
  <c r="BN64" i="10"/>
  <c r="BN63" i="10"/>
  <c r="BN62" i="10"/>
  <c r="BN61" i="10"/>
  <c r="BN60" i="10"/>
  <c r="BN59" i="10"/>
  <c r="BN58" i="10"/>
  <c r="BN57" i="10"/>
  <c r="BN56" i="10"/>
  <c r="BN55" i="10"/>
  <c r="BN54" i="10"/>
  <c r="BN53" i="10"/>
  <c r="BN52" i="10"/>
  <c r="BN51" i="10"/>
  <c r="BN50" i="10"/>
  <c r="BN49" i="10"/>
  <c r="BN48" i="10"/>
  <c r="BN47" i="10"/>
  <c r="BN46" i="10"/>
  <c r="BN45" i="10"/>
  <c r="BN44" i="10"/>
  <c r="BN43" i="10"/>
  <c r="BN42" i="10"/>
  <c r="BN41" i="10"/>
  <c r="BN40" i="10"/>
  <c r="BN39" i="10"/>
  <c r="BN38" i="10"/>
  <c r="BN37" i="10"/>
  <c r="BN36" i="10"/>
  <c r="BN35" i="10"/>
  <c r="BN34" i="10"/>
  <c r="BN33" i="10"/>
  <c r="BN32" i="10"/>
  <c r="BN31" i="10"/>
  <c r="BN30" i="10"/>
  <c r="BN29" i="10"/>
  <c r="BN28" i="10"/>
  <c r="BN27" i="10"/>
  <c r="BN26" i="10"/>
  <c r="BN25" i="10"/>
  <c r="BN24" i="10"/>
  <c r="BN23" i="10"/>
  <c r="BN22" i="10"/>
  <c r="BN21" i="10"/>
  <c r="BN20" i="10"/>
  <c r="BN19" i="10"/>
  <c r="BN18" i="10"/>
  <c r="BN17" i="10"/>
  <c r="BN16" i="10"/>
  <c r="BN15" i="10"/>
  <c r="BN14" i="10"/>
  <c r="BN13" i="10"/>
  <c r="BN12" i="10"/>
  <c r="BN11" i="10"/>
  <c r="BN10" i="10"/>
  <c r="BN9" i="10"/>
  <c r="BN8" i="10"/>
  <c r="BN7" i="10"/>
  <c r="BN6" i="10"/>
  <c r="BN5" i="10"/>
  <c r="BO3" i="10"/>
  <c r="BN3" i="10"/>
  <c r="BM61" i="9"/>
  <c r="BM63" i="9"/>
  <c r="BM5" i="9"/>
  <c r="BM11" i="9"/>
  <c r="BM65" i="9"/>
  <c r="BM64" i="9"/>
  <c r="BM62" i="9"/>
  <c r="BM60" i="9"/>
  <c r="BM59" i="9"/>
  <c r="BM58" i="9"/>
  <c r="BM57" i="9"/>
  <c r="BM56" i="9"/>
  <c r="BM55" i="9"/>
  <c r="BM54" i="9"/>
  <c r="BM53" i="9"/>
  <c r="BM52" i="9"/>
  <c r="BM51" i="9"/>
  <c r="BM50" i="9"/>
  <c r="BM49" i="9"/>
  <c r="BM48" i="9"/>
  <c r="BM47" i="9"/>
  <c r="BM46" i="9"/>
  <c r="BM45" i="9"/>
  <c r="BM44" i="9"/>
  <c r="BM43" i="9"/>
  <c r="BM42" i="9"/>
  <c r="BM41" i="9"/>
  <c r="BM40" i="9"/>
  <c r="BM39" i="9"/>
  <c r="BM38" i="9"/>
  <c r="BM37" i="9"/>
  <c r="BM36" i="9"/>
  <c r="BM35" i="9"/>
  <c r="BM34" i="9"/>
  <c r="BM33" i="9"/>
  <c r="BM32" i="9"/>
  <c r="BM31" i="9"/>
  <c r="BM30" i="9"/>
  <c r="BM29" i="9"/>
  <c r="BM28" i="9"/>
  <c r="BM27" i="9"/>
  <c r="BM26" i="9"/>
  <c r="BM25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0" i="9"/>
  <c r="BM9" i="9"/>
  <c r="BM8" i="9"/>
  <c r="BM7" i="9"/>
  <c r="BM6" i="9"/>
  <c r="BN3" i="9"/>
  <c r="BM3" i="9"/>
  <c r="AD6" i="3"/>
  <c r="AC6" i="3"/>
  <c r="AB6" i="3"/>
  <c r="AA6" i="3"/>
  <c r="Z6" i="3"/>
  <c r="W6" i="3"/>
  <c r="V6" i="3"/>
  <c r="U6" i="3"/>
  <c r="R6" i="3"/>
  <c r="O6" i="3"/>
  <c r="N6" i="3"/>
  <c r="M6" i="3"/>
  <c r="L6" i="3"/>
  <c r="J6" i="3"/>
  <c r="I6" i="3"/>
  <c r="H6" i="3"/>
  <c r="G6" i="3"/>
  <c r="F6" i="3"/>
  <c r="D6" i="3"/>
  <c r="C6" i="3"/>
  <c r="A6" i="3"/>
</calcChain>
</file>

<file path=xl/sharedStrings.xml><?xml version="1.0" encoding="utf-8"?>
<sst xmlns="http://schemas.openxmlformats.org/spreadsheetml/2006/main" count="577" uniqueCount="122">
  <si>
    <t>FH-1</t>
  </si>
  <si>
    <t>SAHSOL</t>
  </si>
  <si>
    <t>AC Main - 1</t>
  </si>
  <si>
    <t>AC Main - 2</t>
  </si>
  <si>
    <t>Superstore</t>
  </si>
  <si>
    <t>In-gate</t>
  </si>
  <si>
    <t>FH-2</t>
  </si>
  <si>
    <t>LIB-1</t>
  </si>
  <si>
    <t>AC-Lib</t>
  </si>
  <si>
    <t>AC-PDC</t>
  </si>
  <si>
    <t>PDC-3</t>
  </si>
  <si>
    <t>SSE-1</t>
  </si>
  <si>
    <t>LIB-2</t>
  </si>
  <si>
    <t>AC-REDC</t>
  </si>
  <si>
    <t>PDC-1</t>
  </si>
  <si>
    <t>PDC-2</t>
  </si>
  <si>
    <t>SSE-2</t>
  </si>
  <si>
    <t>SDSB-1</t>
  </si>
  <si>
    <t>SDSB-2</t>
  </si>
  <si>
    <t>REDC</t>
  </si>
  <si>
    <t>Sports Complex -1</t>
  </si>
  <si>
    <t>Male-Hostel -1</t>
  </si>
  <si>
    <t>SDSB-3</t>
  </si>
  <si>
    <t>SDSB-4</t>
  </si>
  <si>
    <t>Sports Complex - 2</t>
  </si>
  <si>
    <t>Sports Complex - 3</t>
  </si>
  <si>
    <t>M7</t>
  </si>
  <si>
    <t>Male-Hostel - 2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</si>
  <si>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</si>
  <si>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</si>
  <si>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</si>
  <si>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</si>
  <si>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</si>
  <si>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</si>
  <si>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</si>
  <si>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</si>
  <si>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</si>
  <si>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</si>
  <si>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</si>
  <si>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</si>
  <si>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</si>
  <si>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</si>
  <si>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</si>
  <si>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</si>
  <si>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</si>
  <si>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</si>
  <si>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</si>
  <si>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</si>
  <si>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</si>
  <si>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</si>
  <si>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</si>
  <si>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</si>
  <si>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</si>
  <si>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</si>
  <si>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</si>
  <si>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</si>
  <si>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</si>
  <si>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</si>
  <si>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Objective Function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</si>
  <si>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</si>
  <si>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</si>
  <si>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</si>
  <si>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</si>
  <si>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</si>
  <si>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</si>
  <si>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</si>
  <si>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</si>
  <si>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</si>
  <si>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</si>
  <si>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</si>
  <si>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</si>
  <si>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</si>
  <si>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</si>
  <si>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</si>
  <si>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</si>
  <si>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</si>
  <si>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</si>
  <si>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</si>
  <si>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</si>
  <si>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</si>
  <si>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</si>
  <si>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</si>
  <si>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</si>
  <si>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</si>
  <si>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</si>
  <si>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</si>
  <si>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</si>
  <si>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Y29</t>
  </si>
  <si>
    <t>Y30</t>
  </si>
  <si>
    <t>Existing ATM constraints where Y2,Y5,Y11 and Y26 = 1, always</t>
  </si>
  <si>
    <t>MCLP constraints</t>
  </si>
  <si>
    <t>FH-3</t>
  </si>
  <si>
    <t>Male-Hostel - 3</t>
  </si>
  <si>
    <t xml:space="preserve">No. of atms to be installed - By changing variable cells </t>
  </si>
  <si>
    <t xml:space="preserve"> =</t>
  </si>
  <si>
    <t xml:space="preserve"> = </t>
  </si>
  <si>
    <t>Demand Criteria</t>
  </si>
  <si>
    <t>ATM Needed</t>
  </si>
  <si>
    <t>Maybe Needed</t>
  </si>
  <si>
    <t>Not needed</t>
  </si>
  <si>
    <t>&gt;=</t>
  </si>
  <si>
    <t>Very Much Needed</t>
  </si>
  <si>
    <t>Not Needed</t>
  </si>
  <si>
    <t xml:space="preserve">Sum of Probability weights </t>
  </si>
  <si>
    <t>Demand from the surveys</t>
  </si>
  <si>
    <t>Out-gate</t>
  </si>
  <si>
    <t>Library</t>
  </si>
  <si>
    <t>SSE</t>
  </si>
  <si>
    <t>Academic Blocl-Main Exit</t>
  </si>
  <si>
    <t>Academic Blocl-Library Exit</t>
  </si>
  <si>
    <t>Academic Blocl-PDC Exit</t>
  </si>
  <si>
    <t>Academic Blocl-REDC Exit</t>
  </si>
  <si>
    <t xml:space="preserve">Sports Complex </t>
  </si>
  <si>
    <t>Male Hostel Enclosure</t>
  </si>
  <si>
    <t>Female Hostel Enclosure</t>
  </si>
  <si>
    <t>Sum Product</t>
  </si>
  <si>
    <t>Utility</t>
  </si>
  <si>
    <t>No. of ATMs</t>
  </si>
  <si>
    <t>Sum</t>
  </si>
  <si>
    <t xml:space="preserve">this not only places it at a distance not overlapping with the existing ATMS, but also takes into account the maximisation of utilitly. </t>
  </si>
  <si>
    <t xml:space="preserve">The solver gives us an unfeasible solution because the objective is to maximise utility while also taking into account the distance constraints put forth by the MCLP constraints. </t>
  </si>
  <si>
    <t xml:space="preserve">Solver then gives us the recommendation to place it in one of the boxes around the male hostel area.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</si>
</sst>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1" fillId="0" borderId="0" xfId="0" applyFont="1"/>
    <xf numFmtId="0" fontId="1" fillId="6" borderId="1" xfId="0" applyFont="1" applyFill="1" applyBorder="1"/>
    <xf numFmtId="0" fontId="1" fillId="0" borderId="4" xfId="0" applyFont="1" applyBorder="1"/>
    <xf numFmtId="0" fontId="1" fillId="0" borderId="0" xfId="0" applyFont="1" applyBorder="1"/>
    <xf numFmtId="0" fontId="0" fillId="0" borderId="0" xfId="0" applyBorder="1"/>
    <xf numFmtId="0" fontId="1" fillId="0" borderId="4" xfId="0" applyFont="1" applyFill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0" xfId="0" applyFont="1"/>
    <xf numFmtId="0" fontId="3" fillId="2" borderId="0" xfId="0" applyFont="1" applyFill="1" applyBorder="1"/>
    <xf numFmtId="0" fontId="1" fillId="0" borderId="18" xfId="0" applyFont="1" applyBorder="1"/>
    <xf numFmtId="0" fontId="1" fillId="0" borderId="0" xfId="0" applyFont="1" applyFill="1" applyBorder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1" fillId="0" borderId="22" xfId="0" applyFont="1" applyBorder="1"/>
    <xf numFmtId="0" fontId="1" fillId="7" borderId="1" xfId="0" applyFont="1" applyFill="1" applyBorder="1"/>
    <xf numFmtId="0" fontId="1" fillId="3" borderId="11" xfId="0" applyFont="1" applyFill="1" applyBorder="1" applyAlignment="1">
      <alignment horizontal="center" vertical="center" wrapText="1"/>
    </xf>
    <xf numFmtId="0" fontId="2" fillId="7" borderId="14" xfId="0" applyFont="1" applyFill="1" applyBorder="1"/>
    <xf numFmtId="0" fontId="2" fillId="5" borderId="10" xfId="0" applyFont="1" applyFill="1" applyBorder="1"/>
    <xf numFmtId="0" fontId="2" fillId="8" borderId="5" xfId="0" applyFont="1" applyFill="1" applyBorder="1"/>
    <xf numFmtId="0" fontId="2" fillId="8" borderId="16" xfId="0" applyFont="1" applyFill="1" applyBorder="1"/>
    <xf numFmtId="0" fontId="4" fillId="8" borderId="16" xfId="0" applyFont="1" applyFill="1" applyBorder="1"/>
    <xf numFmtId="0" fontId="4" fillId="8" borderId="17" xfId="0" applyFont="1" applyFill="1" applyBorder="1"/>
    <xf numFmtId="0" fontId="2" fillId="8" borderId="6" xfId="0" applyFont="1" applyFill="1" applyBorder="1"/>
    <xf numFmtId="0" fontId="2" fillId="8" borderId="0" xfId="0" applyFont="1" applyFill="1" applyBorder="1"/>
    <xf numFmtId="0" fontId="4" fillId="8" borderId="0" xfId="0" applyFont="1" applyFill="1" applyBorder="1"/>
    <xf numFmtId="0" fontId="4" fillId="8" borderId="18" xfId="0" applyFont="1" applyFill="1" applyBorder="1"/>
    <xf numFmtId="0" fontId="2" fillId="8" borderId="9" xfId="0" applyFont="1" applyFill="1" applyBorder="1"/>
    <xf numFmtId="0" fontId="2" fillId="8" borderId="19" xfId="0" applyFont="1" applyFill="1" applyBorder="1"/>
    <xf numFmtId="0" fontId="4" fillId="8" borderId="19" xfId="0" applyFont="1" applyFill="1" applyBorder="1"/>
    <xf numFmtId="0" fontId="4" fillId="8" borderId="23" xfId="0" applyFont="1" applyFill="1" applyBorder="1"/>
    <xf numFmtId="0" fontId="5" fillId="9" borderId="15" xfId="0" applyFont="1" applyFill="1" applyBorder="1"/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vertical="center" wrapText="1"/>
    </xf>
    <xf numFmtId="0" fontId="1" fillId="4" borderId="14" xfId="0" applyFont="1" applyFill="1" applyBorder="1" applyAlignment="1">
      <alignment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5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010D1-1B60-45F5-82E3-9A407E0E093B}">
  <dimension ref="A1:CD65"/>
  <sheetViews>
    <sheetView topLeftCell="BB1" zoomScale="72" zoomScaleNormal="55" workbookViewId="0">
      <selection activeCell="BI8" sqref="BI8"/>
    </sheetView>
  </sheetViews>
  <sheetFormatPr baseColWidth="10" defaultColWidth="11.1640625" defaultRowHeight="16" x14ac:dyDescent="0.2"/>
  <cols>
    <col min="3" max="3" width="47.33203125" bestFit="1" customWidth="1"/>
    <col min="65" max="65" width="13.6640625" bestFit="1" customWidth="1"/>
    <col min="66" max="66" width="13" bestFit="1" customWidth="1"/>
  </cols>
  <sheetData>
    <row r="1" spans="1:82" ht="17" thickBo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 t="s">
        <v>0</v>
      </c>
      <c r="AI1" s="2" t="s">
        <v>1</v>
      </c>
      <c r="AJ1" s="2" t="s">
        <v>2</v>
      </c>
      <c r="AK1" s="2" t="s">
        <v>3</v>
      </c>
      <c r="AL1" s="2" t="s">
        <v>4</v>
      </c>
      <c r="AM1" s="2" t="s">
        <v>5</v>
      </c>
      <c r="AN1" s="2" t="s">
        <v>6</v>
      </c>
      <c r="AO1" s="2" t="s">
        <v>7</v>
      </c>
      <c r="AP1" s="2" t="s">
        <v>8</v>
      </c>
      <c r="AQ1" s="2" t="s">
        <v>9</v>
      </c>
      <c r="AR1" s="2" t="s">
        <v>10</v>
      </c>
      <c r="AS1" s="2" t="s">
        <v>11</v>
      </c>
      <c r="AT1" s="2" t="s">
        <v>91</v>
      </c>
      <c r="AU1" s="2" t="s">
        <v>12</v>
      </c>
      <c r="AV1" s="2" t="s">
        <v>13</v>
      </c>
      <c r="AW1" s="2" t="s">
        <v>14</v>
      </c>
      <c r="AX1" s="2" t="s">
        <v>15</v>
      </c>
      <c r="AY1" s="2" t="s">
        <v>16</v>
      </c>
      <c r="AZ1" s="2" t="s">
        <v>17</v>
      </c>
      <c r="BA1" s="2" t="s">
        <v>18</v>
      </c>
      <c r="BB1" s="2" t="s">
        <v>19</v>
      </c>
      <c r="BC1" s="2" t="s">
        <v>20</v>
      </c>
      <c r="BD1" s="2" t="s">
        <v>21</v>
      </c>
      <c r="BE1" s="2" t="s">
        <v>27</v>
      </c>
      <c r="BF1" s="2" t="s">
        <v>22</v>
      </c>
      <c r="BG1" s="2" t="s">
        <v>23</v>
      </c>
      <c r="BH1" s="2" t="s">
        <v>24</v>
      </c>
      <c r="BI1" s="2" t="s">
        <v>25</v>
      </c>
      <c r="BJ1" s="2" t="s">
        <v>26</v>
      </c>
      <c r="BK1" s="2" t="s">
        <v>92</v>
      </c>
      <c r="BL1" s="2"/>
      <c r="BM1" s="2" t="s">
        <v>116</v>
      </c>
      <c r="BN1" s="2" t="s">
        <v>117</v>
      </c>
      <c r="BO1" s="2"/>
    </row>
    <row r="2" spans="1:82" ht="17" thickBot="1" x14ac:dyDescent="0.25">
      <c r="A2" s="2"/>
      <c r="B2" s="2"/>
      <c r="C2" s="23"/>
      <c r="D2" s="24" t="s">
        <v>28</v>
      </c>
      <c r="E2" s="24" t="s">
        <v>29</v>
      </c>
      <c r="F2" s="24" t="s">
        <v>30</v>
      </c>
      <c r="G2" s="24" t="s">
        <v>31</v>
      </c>
      <c r="H2" s="24" t="s">
        <v>32</v>
      </c>
      <c r="I2" s="24" t="s">
        <v>33</v>
      </c>
      <c r="J2" s="24" t="s">
        <v>34</v>
      </c>
      <c r="K2" s="24" t="s">
        <v>35</v>
      </c>
      <c r="L2" s="24" t="s">
        <v>36</v>
      </c>
      <c r="M2" s="24" t="s">
        <v>37</v>
      </c>
      <c r="N2" s="24" t="s">
        <v>38</v>
      </c>
      <c r="O2" s="24" t="s">
        <v>39</v>
      </c>
      <c r="P2" s="24" t="s">
        <v>40</v>
      </c>
      <c r="Q2" s="24" t="s">
        <v>41</v>
      </c>
      <c r="R2" s="24" t="s">
        <v>42</v>
      </c>
      <c r="S2" s="24" t="s">
        <v>43</v>
      </c>
      <c r="T2" s="24" t="s">
        <v>44</v>
      </c>
      <c r="U2" s="24" t="s">
        <v>45</v>
      </c>
      <c r="V2" s="24" t="s">
        <v>46</v>
      </c>
      <c r="W2" s="24" t="s">
        <v>47</v>
      </c>
      <c r="X2" s="24" t="s">
        <v>48</v>
      </c>
      <c r="Y2" s="24" t="s">
        <v>49</v>
      </c>
      <c r="Z2" s="24" t="s">
        <v>50</v>
      </c>
      <c r="AA2" s="24" t="s">
        <v>51</v>
      </c>
      <c r="AB2" s="24" t="s">
        <v>52</v>
      </c>
      <c r="AC2" s="24" t="s">
        <v>53</v>
      </c>
      <c r="AD2" s="24" t="s">
        <v>54</v>
      </c>
      <c r="AE2" s="24" t="s">
        <v>55</v>
      </c>
      <c r="AF2" s="24" t="s">
        <v>56</v>
      </c>
      <c r="AG2" s="24" t="s">
        <v>57</v>
      </c>
      <c r="AH2" s="24" t="s">
        <v>59</v>
      </c>
      <c r="AI2" s="24" t="s">
        <v>60</v>
      </c>
      <c r="AJ2" s="24" t="s">
        <v>61</v>
      </c>
      <c r="AK2" s="24" t="s">
        <v>62</v>
      </c>
      <c r="AL2" s="24" t="s">
        <v>63</v>
      </c>
      <c r="AM2" s="24" t="s">
        <v>64</v>
      </c>
      <c r="AN2" s="24" t="s">
        <v>65</v>
      </c>
      <c r="AO2" s="24" t="s">
        <v>66</v>
      </c>
      <c r="AP2" s="24" t="s">
        <v>67</v>
      </c>
      <c r="AQ2" s="24" t="s">
        <v>68</v>
      </c>
      <c r="AR2" s="24" t="s">
        <v>69</v>
      </c>
      <c r="AS2" s="24" t="s">
        <v>70</v>
      </c>
      <c r="AT2" s="24" t="s">
        <v>71</v>
      </c>
      <c r="AU2" s="24" t="s">
        <v>72</v>
      </c>
      <c r="AV2" s="24" t="s">
        <v>73</v>
      </c>
      <c r="AW2" s="24" t="s">
        <v>74</v>
      </c>
      <c r="AX2" s="24" t="s">
        <v>75</v>
      </c>
      <c r="AY2" s="24" t="s">
        <v>76</v>
      </c>
      <c r="AZ2" s="24" t="s">
        <v>77</v>
      </c>
      <c r="BA2" s="24" t="s">
        <v>78</v>
      </c>
      <c r="BB2" s="24" t="s">
        <v>79</v>
      </c>
      <c r="BC2" s="24" t="s">
        <v>80</v>
      </c>
      <c r="BD2" s="24" t="s">
        <v>81</v>
      </c>
      <c r="BE2" s="24" t="s">
        <v>82</v>
      </c>
      <c r="BF2" s="24" t="s">
        <v>83</v>
      </c>
      <c r="BG2" s="24" t="s">
        <v>84</v>
      </c>
      <c r="BH2" s="24" t="s">
        <v>85</v>
      </c>
      <c r="BI2" s="24" t="s">
        <v>86</v>
      </c>
      <c r="BJ2" s="24" t="s">
        <v>87</v>
      </c>
      <c r="BK2" s="24" t="s">
        <v>88</v>
      </c>
      <c r="BL2" s="24"/>
      <c r="BM2" s="24" t="s">
        <v>115</v>
      </c>
      <c r="BN2" s="24" t="s">
        <v>118</v>
      </c>
      <c r="BO2" s="25"/>
    </row>
    <row r="3" spans="1:82" ht="17" thickBot="1" x14ac:dyDescent="0.25">
      <c r="A3" s="2"/>
      <c r="B3" s="2"/>
      <c r="C3" s="29" t="s">
        <v>58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19">
        <v>64.25</v>
      </c>
      <c r="AI3" s="19">
        <v>0</v>
      </c>
      <c r="AJ3" s="19">
        <v>30.25</v>
      </c>
      <c r="AK3" s="19">
        <v>30.25</v>
      </c>
      <c r="AL3" s="19">
        <v>0</v>
      </c>
      <c r="AM3" s="19">
        <v>47</v>
      </c>
      <c r="AN3" s="19">
        <v>64.25</v>
      </c>
      <c r="AO3" s="19">
        <v>67.75</v>
      </c>
      <c r="AP3" s="19">
        <v>43.5</v>
      </c>
      <c r="AQ3" s="19">
        <v>33.25</v>
      </c>
      <c r="AR3" s="19">
        <v>0</v>
      </c>
      <c r="AS3" s="19">
        <v>51.5</v>
      </c>
      <c r="AT3" s="19">
        <v>64.25</v>
      </c>
      <c r="AU3" s="19">
        <v>67.75</v>
      </c>
      <c r="AV3" s="19">
        <v>25.5</v>
      </c>
      <c r="AW3" s="19">
        <v>0</v>
      </c>
      <c r="AX3" s="19">
        <v>0</v>
      </c>
      <c r="AY3" s="19">
        <v>51.5</v>
      </c>
      <c r="AZ3" s="19">
        <v>0</v>
      </c>
      <c r="BA3" s="19">
        <v>0</v>
      </c>
      <c r="BB3" s="19">
        <v>29</v>
      </c>
      <c r="BC3" s="19">
        <v>21.25</v>
      </c>
      <c r="BD3" s="19">
        <v>61.5</v>
      </c>
      <c r="BE3" s="19">
        <v>61.5</v>
      </c>
      <c r="BF3" s="19">
        <v>0</v>
      </c>
      <c r="BG3" s="19">
        <v>0</v>
      </c>
      <c r="BH3" s="19">
        <v>21.25</v>
      </c>
      <c r="BI3" s="19">
        <v>21.25</v>
      </c>
      <c r="BJ3" s="19">
        <v>40.75</v>
      </c>
      <c r="BK3" s="19">
        <v>61.5</v>
      </c>
      <c r="BL3" s="5"/>
      <c r="BM3" s="42">
        <f>SUMPRODUCT(AH3:BK3,AH4:BK4)</f>
        <v>0</v>
      </c>
      <c r="BN3" s="5">
        <f>SUM((AH4:BK4))</f>
        <v>4</v>
      </c>
      <c r="BO3" s="20"/>
    </row>
    <row r="4" spans="1:82" ht="17" thickBot="1" x14ac:dyDescent="0.25">
      <c r="A4" s="2"/>
      <c r="B4" s="2"/>
      <c r="C4" s="28" t="s">
        <v>93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>
        <v>0</v>
      </c>
      <c r="AI4" s="5">
        <v>1</v>
      </c>
      <c r="AJ4" s="5">
        <v>0</v>
      </c>
      <c r="AK4" s="5">
        <v>0</v>
      </c>
      <c r="AL4" s="5">
        <v>1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1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5">
        <v>0</v>
      </c>
      <c r="BF4" s="5">
        <v>0</v>
      </c>
      <c r="BG4" s="5">
        <v>1</v>
      </c>
      <c r="BH4" s="5">
        <v>0</v>
      </c>
      <c r="BI4" s="5">
        <v>0</v>
      </c>
      <c r="BJ4" s="5">
        <v>0</v>
      </c>
      <c r="BK4" s="5">
        <v>0</v>
      </c>
      <c r="BL4" s="5"/>
      <c r="BM4" s="5"/>
      <c r="BN4" s="5"/>
      <c r="BO4" s="20"/>
    </row>
    <row r="5" spans="1:82" x14ac:dyDescent="0.2">
      <c r="A5" s="2"/>
      <c r="B5" s="2"/>
      <c r="C5" s="9"/>
      <c r="D5" s="5">
        <v>1</v>
      </c>
      <c r="E5" s="5">
        <v>1</v>
      </c>
      <c r="F5" s="5">
        <v>0</v>
      </c>
      <c r="G5" s="5">
        <v>0</v>
      </c>
      <c r="H5" s="5">
        <v>1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1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1</v>
      </c>
      <c r="AD5" s="5">
        <v>0</v>
      </c>
      <c r="AE5" s="5">
        <v>0</v>
      </c>
      <c r="AF5" s="5">
        <v>0</v>
      </c>
      <c r="AG5" s="5">
        <v>0</v>
      </c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>
        <f>SUM(D5:AG5)</f>
        <v>5</v>
      </c>
      <c r="BN5" s="8" t="s">
        <v>95</v>
      </c>
      <c r="BO5" s="13">
        <v>5</v>
      </c>
      <c r="BQ5" s="30" t="s">
        <v>120</v>
      </c>
      <c r="BR5" s="31"/>
      <c r="BS5" s="31"/>
      <c r="BT5" s="31"/>
      <c r="BU5" s="31"/>
      <c r="BV5" s="31"/>
      <c r="BW5" s="32"/>
      <c r="BX5" s="32"/>
      <c r="BY5" s="32"/>
      <c r="BZ5" s="32"/>
      <c r="CA5" s="32"/>
      <c r="CB5" s="32"/>
      <c r="CC5" s="32"/>
      <c r="CD5" s="33"/>
    </row>
    <row r="6" spans="1:82" x14ac:dyDescent="0.2">
      <c r="A6" s="2"/>
      <c r="B6" s="2"/>
      <c r="C6" s="9"/>
      <c r="D6" s="5">
        <v>0</v>
      </c>
      <c r="E6" s="5">
        <v>1</v>
      </c>
      <c r="F6" s="5">
        <v>1</v>
      </c>
      <c r="G6" s="5">
        <v>0</v>
      </c>
      <c r="H6" s="5">
        <v>1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1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1</v>
      </c>
      <c r="AD6" s="5">
        <v>0</v>
      </c>
      <c r="AE6" s="5">
        <v>0</v>
      </c>
      <c r="AF6" s="5">
        <v>0</v>
      </c>
      <c r="AG6" s="5">
        <v>0</v>
      </c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>
        <f t="shared" ref="BM6:BM30" si="0">SUM(D6:AG6)</f>
        <v>5</v>
      </c>
      <c r="BN6" s="9" t="s">
        <v>94</v>
      </c>
      <c r="BO6" s="14">
        <v>5</v>
      </c>
      <c r="BQ6" s="34" t="s">
        <v>121</v>
      </c>
      <c r="BR6" s="35"/>
      <c r="BS6" s="35"/>
      <c r="BT6" s="35"/>
      <c r="BU6" s="35"/>
      <c r="BV6" s="35"/>
      <c r="BW6" s="36"/>
      <c r="BX6" s="36"/>
      <c r="BY6" s="36"/>
      <c r="BZ6" s="36"/>
      <c r="CA6" s="36"/>
      <c r="CB6" s="36"/>
      <c r="CC6" s="36"/>
      <c r="CD6" s="37"/>
    </row>
    <row r="7" spans="1:82" ht="17" thickBot="1" x14ac:dyDescent="0.25">
      <c r="A7" s="2"/>
      <c r="B7" s="2"/>
      <c r="C7" s="9"/>
      <c r="D7" s="5">
        <v>0</v>
      </c>
      <c r="E7" s="5">
        <v>1</v>
      </c>
      <c r="F7" s="5">
        <v>0</v>
      </c>
      <c r="G7" s="5">
        <v>1</v>
      </c>
      <c r="H7" s="5">
        <v>1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1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1</v>
      </c>
      <c r="AD7" s="5">
        <v>0</v>
      </c>
      <c r="AE7" s="5">
        <v>0</v>
      </c>
      <c r="AF7" s="5">
        <v>0</v>
      </c>
      <c r="AG7" s="5">
        <v>0</v>
      </c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>
        <f t="shared" si="0"/>
        <v>5</v>
      </c>
      <c r="BN7" s="9" t="s">
        <v>95</v>
      </c>
      <c r="BO7" s="14">
        <v>5</v>
      </c>
      <c r="BQ7" s="38" t="s">
        <v>119</v>
      </c>
      <c r="BR7" s="39"/>
      <c r="BS7" s="39"/>
      <c r="BT7" s="39"/>
      <c r="BU7" s="39"/>
      <c r="BV7" s="39"/>
      <c r="BW7" s="40"/>
      <c r="BX7" s="40"/>
      <c r="BY7" s="40"/>
      <c r="BZ7" s="40"/>
      <c r="CA7" s="40"/>
      <c r="CB7" s="40"/>
      <c r="CC7" s="40"/>
      <c r="CD7" s="41"/>
    </row>
    <row r="8" spans="1:82" x14ac:dyDescent="0.2">
      <c r="A8" s="2"/>
      <c r="B8" s="2"/>
      <c r="C8" s="9"/>
      <c r="D8" s="5">
        <v>0</v>
      </c>
      <c r="E8" s="5">
        <v>1</v>
      </c>
      <c r="F8" s="5">
        <v>0</v>
      </c>
      <c r="G8" s="5">
        <v>0</v>
      </c>
      <c r="H8" s="5">
        <v>1</v>
      </c>
      <c r="I8" s="5">
        <v>1</v>
      </c>
      <c r="J8" s="5">
        <v>0</v>
      </c>
      <c r="K8" s="5">
        <v>0</v>
      </c>
      <c r="L8" s="5">
        <v>0</v>
      </c>
      <c r="M8" s="5">
        <v>0</v>
      </c>
      <c r="N8" s="5">
        <v>1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0</v>
      </c>
      <c r="AE8" s="5">
        <v>0</v>
      </c>
      <c r="AF8" s="5">
        <v>0</v>
      </c>
      <c r="AG8" s="5">
        <v>0</v>
      </c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>
        <f t="shared" si="0"/>
        <v>5</v>
      </c>
      <c r="BN8" s="9" t="s">
        <v>94</v>
      </c>
      <c r="BO8" s="14">
        <v>5</v>
      </c>
    </row>
    <row r="9" spans="1:82" x14ac:dyDescent="0.2">
      <c r="A9" s="2"/>
      <c r="B9" s="2"/>
      <c r="C9" s="9"/>
      <c r="D9" s="5">
        <v>0</v>
      </c>
      <c r="E9" s="5">
        <v>1</v>
      </c>
      <c r="F9" s="5">
        <v>0</v>
      </c>
      <c r="G9" s="5">
        <v>0</v>
      </c>
      <c r="H9" s="5">
        <v>1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0</v>
      </c>
      <c r="AF9" s="5">
        <v>0</v>
      </c>
      <c r="AG9" s="5">
        <v>0</v>
      </c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>
        <f t="shared" si="0"/>
        <v>5</v>
      </c>
      <c r="BN9" s="9" t="s">
        <v>95</v>
      </c>
      <c r="BO9" s="14">
        <v>5</v>
      </c>
    </row>
    <row r="10" spans="1:82" x14ac:dyDescent="0.2">
      <c r="A10" s="2"/>
      <c r="B10" s="2"/>
      <c r="C10" s="9"/>
      <c r="D10" s="5">
        <v>0</v>
      </c>
      <c r="E10" s="5">
        <v>1</v>
      </c>
      <c r="F10" s="5">
        <v>0</v>
      </c>
      <c r="G10" s="5">
        <v>0</v>
      </c>
      <c r="H10" s="5">
        <v>1</v>
      </c>
      <c r="I10" s="5">
        <v>0</v>
      </c>
      <c r="J10" s="5">
        <v>0</v>
      </c>
      <c r="K10" s="5">
        <v>1</v>
      </c>
      <c r="L10" s="5">
        <v>0</v>
      </c>
      <c r="M10" s="5">
        <v>0</v>
      </c>
      <c r="N10" s="5">
        <v>1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0</v>
      </c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>
        <f t="shared" si="0"/>
        <v>5</v>
      </c>
      <c r="BN10" s="9" t="s">
        <v>94</v>
      </c>
      <c r="BO10" s="14">
        <v>5</v>
      </c>
    </row>
    <row r="11" spans="1:82" x14ac:dyDescent="0.2">
      <c r="A11" s="2"/>
      <c r="B11" s="2"/>
      <c r="C11" s="9"/>
      <c r="D11" s="5">
        <v>0</v>
      </c>
      <c r="E11" s="5">
        <v>1</v>
      </c>
      <c r="F11" s="5">
        <v>0</v>
      </c>
      <c r="G11" s="5">
        <v>0</v>
      </c>
      <c r="H11" s="5">
        <v>1</v>
      </c>
      <c r="I11" s="5">
        <v>0</v>
      </c>
      <c r="J11" s="5">
        <v>0</v>
      </c>
      <c r="K11" s="5">
        <v>0</v>
      </c>
      <c r="L11" s="5">
        <v>1</v>
      </c>
      <c r="M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0</v>
      </c>
      <c r="AG11" s="5">
        <v>0</v>
      </c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>
        <f>SUM(D11:AG11)</f>
        <v>5</v>
      </c>
      <c r="BN11" s="9" t="s">
        <v>95</v>
      </c>
      <c r="BO11" s="14">
        <v>5</v>
      </c>
    </row>
    <row r="12" spans="1:82" x14ac:dyDescent="0.2">
      <c r="A12" s="2"/>
      <c r="B12" s="2"/>
      <c r="C12" s="9"/>
      <c r="D12" s="5">
        <v>0</v>
      </c>
      <c r="E12" s="5">
        <v>1</v>
      </c>
      <c r="F12" s="5">
        <v>0</v>
      </c>
      <c r="G12" s="5">
        <v>0</v>
      </c>
      <c r="H12" s="5">
        <v>1</v>
      </c>
      <c r="I12" s="5">
        <v>0</v>
      </c>
      <c r="J12" s="5">
        <v>0</v>
      </c>
      <c r="K12" s="5">
        <v>0</v>
      </c>
      <c r="L12" s="5">
        <v>0</v>
      </c>
      <c r="M12" s="5">
        <v>1</v>
      </c>
      <c r="N12" s="5">
        <v>1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>
        <f t="shared" si="0"/>
        <v>5</v>
      </c>
      <c r="BN12" s="9" t="s">
        <v>94</v>
      </c>
      <c r="BO12" s="14">
        <v>5</v>
      </c>
    </row>
    <row r="13" spans="1:82" x14ac:dyDescent="0.2">
      <c r="A13" s="2"/>
      <c r="B13" s="2"/>
      <c r="C13" s="9"/>
      <c r="D13" s="5">
        <v>0</v>
      </c>
      <c r="E13" s="5">
        <v>1</v>
      </c>
      <c r="F13" s="5">
        <v>0</v>
      </c>
      <c r="G13" s="5">
        <v>0</v>
      </c>
      <c r="H13" s="5">
        <v>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1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0</v>
      </c>
      <c r="AG13" s="5">
        <v>0</v>
      </c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>
        <f t="shared" si="0"/>
        <v>5</v>
      </c>
      <c r="BN13" s="9" t="s">
        <v>95</v>
      </c>
      <c r="BO13" s="14">
        <v>5</v>
      </c>
    </row>
    <row r="14" spans="1:82" x14ac:dyDescent="0.2">
      <c r="A14" s="2"/>
      <c r="B14" s="2"/>
      <c r="C14" s="9"/>
      <c r="D14" s="5">
        <v>0</v>
      </c>
      <c r="E14" s="5">
        <v>1</v>
      </c>
      <c r="F14" s="5">
        <v>0</v>
      </c>
      <c r="G14" s="5">
        <v>0</v>
      </c>
      <c r="H14" s="5">
        <v>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</v>
      </c>
      <c r="O14" s="5">
        <v>0</v>
      </c>
      <c r="P14" s="5">
        <v>1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0</v>
      </c>
      <c r="AG14" s="5">
        <v>0</v>
      </c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>
        <f t="shared" si="0"/>
        <v>5</v>
      </c>
      <c r="BN14" s="9" t="s">
        <v>94</v>
      </c>
      <c r="BO14" s="14">
        <v>5</v>
      </c>
    </row>
    <row r="15" spans="1:82" x14ac:dyDescent="0.2">
      <c r="A15" s="2"/>
      <c r="B15" s="2"/>
      <c r="C15" s="9"/>
      <c r="D15" s="5">
        <v>0</v>
      </c>
      <c r="E15" s="5">
        <v>1</v>
      </c>
      <c r="F15" s="5">
        <v>0</v>
      </c>
      <c r="G15" s="5">
        <v>0</v>
      </c>
      <c r="H15" s="5">
        <v>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0</v>
      </c>
      <c r="AE15" s="5">
        <v>0</v>
      </c>
      <c r="AF15" s="5">
        <v>0</v>
      </c>
      <c r="AG15" s="5">
        <v>0</v>
      </c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>
        <f t="shared" si="0"/>
        <v>5</v>
      </c>
      <c r="BN15" s="9" t="s">
        <v>95</v>
      </c>
      <c r="BO15" s="14">
        <v>5</v>
      </c>
    </row>
    <row r="16" spans="1:82" x14ac:dyDescent="0.2">
      <c r="A16" s="2"/>
      <c r="B16" s="2"/>
      <c r="C16" s="9"/>
      <c r="D16" s="5">
        <v>0</v>
      </c>
      <c r="E16" s="5">
        <v>1</v>
      </c>
      <c r="F16" s="5">
        <v>0</v>
      </c>
      <c r="G16" s="5">
        <v>0</v>
      </c>
      <c r="H16" s="5">
        <v>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0</v>
      </c>
      <c r="Q16" s="5">
        <v>0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</v>
      </c>
      <c r="AD16" s="5">
        <v>0</v>
      </c>
      <c r="AE16" s="5">
        <v>0</v>
      </c>
      <c r="AF16" s="5">
        <v>0</v>
      </c>
      <c r="AG16" s="5">
        <v>0</v>
      </c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>
        <f t="shared" si="0"/>
        <v>5</v>
      </c>
      <c r="BN16" s="9" t="s">
        <v>94</v>
      </c>
      <c r="BO16" s="14">
        <v>5</v>
      </c>
    </row>
    <row r="17" spans="1:67" x14ac:dyDescent="0.2">
      <c r="A17" s="2"/>
      <c r="B17" s="2"/>
      <c r="C17" s="9"/>
      <c r="D17" s="5">
        <v>0</v>
      </c>
      <c r="E17" s="5">
        <v>1</v>
      </c>
      <c r="F17" s="5">
        <v>0</v>
      </c>
      <c r="G17" s="5">
        <v>0</v>
      </c>
      <c r="H17" s="5">
        <v>1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0</v>
      </c>
      <c r="AE17" s="5">
        <v>0</v>
      </c>
      <c r="AF17" s="5">
        <v>0</v>
      </c>
      <c r="AG17" s="5">
        <v>0</v>
      </c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>
        <f t="shared" si="0"/>
        <v>5</v>
      </c>
      <c r="BN17" s="9" t="s">
        <v>95</v>
      </c>
      <c r="BO17" s="14">
        <v>5</v>
      </c>
    </row>
    <row r="18" spans="1:67" x14ac:dyDescent="0.2">
      <c r="A18" s="2"/>
      <c r="B18" s="2"/>
      <c r="C18" s="9"/>
      <c r="D18" s="5">
        <v>0</v>
      </c>
      <c r="E18" s="5">
        <v>1</v>
      </c>
      <c r="F18" s="5">
        <v>0</v>
      </c>
      <c r="G18" s="5">
        <v>0</v>
      </c>
      <c r="H18" s="5">
        <v>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1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1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</v>
      </c>
      <c r="AD18" s="5">
        <v>0</v>
      </c>
      <c r="AE18" s="5">
        <v>0</v>
      </c>
      <c r="AF18" s="5">
        <v>0</v>
      </c>
      <c r="AG18" s="5">
        <v>0</v>
      </c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>
        <f t="shared" si="0"/>
        <v>5</v>
      </c>
      <c r="BN18" s="9" t="s">
        <v>94</v>
      </c>
      <c r="BO18" s="14">
        <v>5</v>
      </c>
    </row>
    <row r="19" spans="1:67" x14ac:dyDescent="0.2">
      <c r="A19" s="2"/>
      <c r="B19" s="2"/>
      <c r="C19" s="9"/>
      <c r="D19" s="5">
        <v>0</v>
      </c>
      <c r="E19" s="5">
        <v>1</v>
      </c>
      <c r="F19" s="5">
        <v>0</v>
      </c>
      <c r="G19" s="5">
        <v>0</v>
      </c>
      <c r="H19" s="5">
        <v>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</v>
      </c>
      <c r="AD19" s="5">
        <v>0</v>
      </c>
      <c r="AE19" s="5">
        <v>0</v>
      </c>
      <c r="AF19" s="5">
        <v>0</v>
      </c>
      <c r="AG19" s="5">
        <v>0</v>
      </c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>
        <f t="shared" si="0"/>
        <v>5</v>
      </c>
      <c r="BN19" s="9" t="s">
        <v>95</v>
      </c>
      <c r="BO19" s="14">
        <v>5</v>
      </c>
    </row>
    <row r="20" spans="1:67" x14ac:dyDescent="0.2">
      <c r="A20" s="2"/>
      <c r="B20" s="2"/>
      <c r="C20" s="9"/>
      <c r="D20" s="5">
        <v>0</v>
      </c>
      <c r="E20" s="5">
        <v>1</v>
      </c>
      <c r="F20" s="5">
        <v>0</v>
      </c>
      <c r="G20" s="5">
        <v>0</v>
      </c>
      <c r="H20" s="5">
        <v>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1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</v>
      </c>
      <c r="AD20" s="5">
        <v>0</v>
      </c>
      <c r="AE20" s="5">
        <v>0</v>
      </c>
      <c r="AF20" s="5">
        <v>0</v>
      </c>
      <c r="AG20" s="5">
        <v>0</v>
      </c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>
        <f t="shared" si="0"/>
        <v>5</v>
      </c>
      <c r="BN20" s="9" t="s">
        <v>94</v>
      </c>
      <c r="BO20" s="14">
        <v>5</v>
      </c>
    </row>
    <row r="21" spans="1:67" x14ac:dyDescent="0.2">
      <c r="A21" s="2"/>
      <c r="B21" s="2"/>
      <c r="C21" s="9"/>
      <c r="D21" s="5">
        <v>0</v>
      </c>
      <c r="E21" s="5">
        <v>1</v>
      </c>
      <c r="F21" s="5">
        <v>0</v>
      </c>
      <c r="G21" s="5">
        <v>0</v>
      </c>
      <c r="H21" s="5">
        <v>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</v>
      </c>
      <c r="AD21" s="5">
        <v>0</v>
      </c>
      <c r="AE21" s="5">
        <v>0</v>
      </c>
      <c r="AF21" s="5">
        <v>0</v>
      </c>
      <c r="AG21" s="5">
        <v>0</v>
      </c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>
        <f t="shared" si="0"/>
        <v>5</v>
      </c>
      <c r="BN21" s="9" t="s">
        <v>95</v>
      </c>
      <c r="BO21" s="14">
        <v>5</v>
      </c>
    </row>
    <row r="22" spans="1:67" x14ac:dyDescent="0.2">
      <c r="A22" s="2"/>
      <c r="B22" s="2"/>
      <c r="C22" s="9"/>
      <c r="D22" s="5">
        <v>0</v>
      </c>
      <c r="E22" s="5">
        <v>1</v>
      </c>
      <c r="F22" s="5">
        <v>0</v>
      </c>
      <c r="G22" s="5">
        <v>0</v>
      </c>
      <c r="H22" s="5">
        <v>1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5">
        <v>0</v>
      </c>
      <c r="AC22" s="5">
        <v>1</v>
      </c>
      <c r="AD22" s="5">
        <v>0</v>
      </c>
      <c r="AE22" s="5">
        <v>0</v>
      </c>
      <c r="AF22" s="5">
        <v>0</v>
      </c>
      <c r="AG22" s="5">
        <v>0</v>
      </c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>
        <f t="shared" si="0"/>
        <v>5</v>
      </c>
      <c r="BN22" s="9" t="s">
        <v>94</v>
      </c>
      <c r="BO22" s="14">
        <v>5</v>
      </c>
    </row>
    <row r="23" spans="1:67" x14ac:dyDescent="0.2">
      <c r="A23" s="2"/>
      <c r="B23" s="2"/>
      <c r="C23" s="9"/>
      <c r="D23" s="5">
        <v>0</v>
      </c>
      <c r="E23" s="5">
        <v>1</v>
      </c>
      <c r="F23" s="5">
        <v>0</v>
      </c>
      <c r="G23" s="5">
        <v>0</v>
      </c>
      <c r="H23" s="5">
        <v>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1</v>
      </c>
      <c r="Z23" s="5">
        <v>0</v>
      </c>
      <c r="AA23" s="5">
        <v>0</v>
      </c>
      <c r="AB23" s="5">
        <v>0</v>
      </c>
      <c r="AC23" s="5">
        <v>1</v>
      </c>
      <c r="AD23" s="5">
        <v>0</v>
      </c>
      <c r="AE23" s="5">
        <v>0</v>
      </c>
      <c r="AF23" s="5">
        <v>0</v>
      </c>
      <c r="AG23" s="5">
        <v>0</v>
      </c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>
        <f t="shared" si="0"/>
        <v>5</v>
      </c>
      <c r="BN23" s="9" t="s">
        <v>95</v>
      </c>
      <c r="BO23" s="14">
        <v>5</v>
      </c>
    </row>
    <row r="24" spans="1:67" x14ac:dyDescent="0.2">
      <c r="A24" s="2"/>
      <c r="B24" s="2"/>
      <c r="C24" s="9"/>
      <c r="D24" s="5">
        <v>0</v>
      </c>
      <c r="E24" s="5">
        <v>1</v>
      </c>
      <c r="F24" s="5">
        <v>0</v>
      </c>
      <c r="G24" s="5">
        <v>0</v>
      </c>
      <c r="H24" s="5">
        <v>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1</v>
      </c>
      <c r="AA24" s="5">
        <v>0</v>
      </c>
      <c r="AB24" s="5">
        <v>0</v>
      </c>
      <c r="AC24" s="5">
        <v>1</v>
      </c>
      <c r="AD24" s="5">
        <v>0</v>
      </c>
      <c r="AE24" s="5">
        <v>0</v>
      </c>
      <c r="AF24" s="5">
        <v>0</v>
      </c>
      <c r="AG24" s="5">
        <v>0</v>
      </c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>
        <f t="shared" si="0"/>
        <v>5</v>
      </c>
      <c r="BN24" s="9" t="s">
        <v>94</v>
      </c>
      <c r="BO24" s="14">
        <v>5</v>
      </c>
    </row>
    <row r="25" spans="1:67" x14ac:dyDescent="0.2">
      <c r="A25" s="2"/>
      <c r="B25" s="2"/>
      <c r="C25" s="9"/>
      <c r="D25" s="5">
        <v>0</v>
      </c>
      <c r="E25" s="5">
        <v>1</v>
      </c>
      <c r="F25" s="5">
        <v>0</v>
      </c>
      <c r="G25" s="5">
        <v>0</v>
      </c>
      <c r="H25" s="5">
        <v>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1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1</v>
      </c>
      <c r="AB25" s="5">
        <v>0</v>
      </c>
      <c r="AC25" s="5">
        <v>1</v>
      </c>
      <c r="AD25" s="5">
        <v>0</v>
      </c>
      <c r="AE25" s="5">
        <v>0</v>
      </c>
      <c r="AF25" s="5">
        <v>0</v>
      </c>
      <c r="AG25" s="5">
        <v>0</v>
      </c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>
        <f t="shared" si="0"/>
        <v>5</v>
      </c>
      <c r="BN25" s="9" t="s">
        <v>95</v>
      </c>
      <c r="BO25" s="14">
        <v>5</v>
      </c>
    </row>
    <row r="26" spans="1:67" x14ac:dyDescent="0.2">
      <c r="A26" s="2"/>
      <c r="B26" s="2"/>
      <c r="C26" s="9"/>
      <c r="D26" s="5">
        <v>0</v>
      </c>
      <c r="E26" s="5">
        <v>1</v>
      </c>
      <c r="F26" s="5">
        <v>0</v>
      </c>
      <c r="G26" s="5">
        <v>0</v>
      </c>
      <c r="H26" s="5">
        <v>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1</v>
      </c>
      <c r="AC26" s="5">
        <v>1</v>
      </c>
      <c r="AD26" s="5">
        <v>0</v>
      </c>
      <c r="AE26" s="5">
        <v>0</v>
      </c>
      <c r="AF26" s="5">
        <v>0</v>
      </c>
      <c r="AG26" s="5">
        <v>0</v>
      </c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>
        <f t="shared" si="0"/>
        <v>5</v>
      </c>
      <c r="BN26" s="9" t="s">
        <v>94</v>
      </c>
      <c r="BO26" s="14">
        <v>5</v>
      </c>
    </row>
    <row r="27" spans="1:67" x14ac:dyDescent="0.2">
      <c r="A27" s="2"/>
      <c r="B27" s="2"/>
      <c r="C27" s="9"/>
      <c r="D27" s="5">
        <v>0</v>
      </c>
      <c r="E27" s="5">
        <v>1</v>
      </c>
      <c r="F27" s="5">
        <v>0</v>
      </c>
      <c r="G27" s="5">
        <v>0</v>
      </c>
      <c r="H27" s="5">
        <v>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5">
        <v>0</v>
      </c>
      <c r="AF27" s="5">
        <v>0</v>
      </c>
      <c r="AG27" s="5">
        <v>0</v>
      </c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>
        <f t="shared" si="0"/>
        <v>5</v>
      </c>
      <c r="BN27" s="9" t="s">
        <v>95</v>
      </c>
      <c r="BO27" s="14">
        <v>5</v>
      </c>
    </row>
    <row r="28" spans="1:67" x14ac:dyDescent="0.2">
      <c r="A28" s="2"/>
      <c r="B28" s="2"/>
      <c r="C28" s="9"/>
      <c r="D28" s="5">
        <v>0</v>
      </c>
      <c r="E28" s="5">
        <v>1</v>
      </c>
      <c r="F28" s="5">
        <v>0</v>
      </c>
      <c r="G28" s="5">
        <v>0</v>
      </c>
      <c r="H28" s="5">
        <v>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1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0</v>
      </c>
      <c r="AE28" s="5">
        <v>1</v>
      </c>
      <c r="AF28" s="5">
        <v>0</v>
      </c>
      <c r="AG28" s="5">
        <v>0</v>
      </c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>
        <f t="shared" si="0"/>
        <v>5</v>
      </c>
      <c r="BN28" s="9" t="s">
        <v>94</v>
      </c>
      <c r="BO28" s="14">
        <v>5</v>
      </c>
    </row>
    <row r="29" spans="1:67" x14ac:dyDescent="0.2">
      <c r="A29" s="2"/>
      <c r="B29" s="2"/>
      <c r="C29" s="9"/>
      <c r="D29" s="5">
        <v>0</v>
      </c>
      <c r="E29" s="5">
        <v>1</v>
      </c>
      <c r="F29" s="5">
        <v>0</v>
      </c>
      <c r="G29" s="5">
        <v>0</v>
      </c>
      <c r="H29" s="5">
        <v>1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1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0</v>
      </c>
      <c r="AF29" s="5">
        <v>1</v>
      </c>
      <c r="AG29" s="5">
        <v>0</v>
      </c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>
        <f t="shared" si="0"/>
        <v>5</v>
      </c>
      <c r="BN29" s="9" t="s">
        <v>95</v>
      </c>
      <c r="BO29" s="14">
        <v>5</v>
      </c>
    </row>
    <row r="30" spans="1:67" ht="17" thickBot="1" x14ac:dyDescent="0.25">
      <c r="A30" s="2"/>
      <c r="B30" s="2"/>
      <c r="C30" s="9"/>
      <c r="D30" s="4">
        <v>0</v>
      </c>
      <c r="E30" s="4">
        <v>1</v>
      </c>
      <c r="F30" s="4">
        <v>0</v>
      </c>
      <c r="G30" s="4">
        <v>0</v>
      </c>
      <c r="H30" s="4">
        <v>1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1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1</v>
      </c>
      <c r="AD30" s="4">
        <v>0</v>
      </c>
      <c r="AE30" s="4">
        <v>0</v>
      </c>
      <c r="AF30" s="4">
        <v>0</v>
      </c>
      <c r="AG30" s="4">
        <v>1</v>
      </c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5"/>
      <c r="BM30" s="5">
        <f t="shared" si="0"/>
        <v>5</v>
      </c>
      <c r="BN30" s="9" t="s">
        <v>94</v>
      </c>
      <c r="BO30" s="14">
        <v>5</v>
      </c>
    </row>
    <row r="31" spans="1:67" x14ac:dyDescent="0.2">
      <c r="A31" s="2"/>
      <c r="B31" s="2"/>
      <c r="C31" s="43" t="s">
        <v>90</v>
      </c>
      <c r="D31" s="21">
        <v>1</v>
      </c>
      <c r="E31" s="21">
        <v>1</v>
      </c>
      <c r="F31" s="21">
        <v>0</v>
      </c>
      <c r="G31" s="21">
        <v>0</v>
      </c>
      <c r="H31" s="21">
        <v>0</v>
      </c>
      <c r="I31" s="21">
        <v>0</v>
      </c>
      <c r="J31" s="21">
        <v>1</v>
      </c>
      <c r="K31" s="21">
        <v>1</v>
      </c>
      <c r="L31" s="21">
        <v>0</v>
      </c>
      <c r="M31" s="21">
        <v>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1">
        <v>0</v>
      </c>
      <c r="T31" s="21">
        <v>0</v>
      </c>
      <c r="U31" s="21">
        <v>0</v>
      </c>
      <c r="V31" s="21">
        <v>0</v>
      </c>
      <c r="W31" s="21">
        <v>0</v>
      </c>
      <c r="X31" s="21">
        <v>0</v>
      </c>
      <c r="Y31" s="21">
        <v>0</v>
      </c>
      <c r="Z31" s="21">
        <v>0</v>
      </c>
      <c r="AA31" s="21">
        <v>0</v>
      </c>
      <c r="AB31" s="21">
        <v>0</v>
      </c>
      <c r="AC31" s="21">
        <v>0</v>
      </c>
      <c r="AD31" s="21">
        <v>0</v>
      </c>
      <c r="AE31" s="21">
        <v>0</v>
      </c>
      <c r="AF31" s="21">
        <v>0</v>
      </c>
      <c r="AG31" s="21">
        <v>0</v>
      </c>
      <c r="AH31" s="21">
        <v>-1</v>
      </c>
      <c r="AI31" s="21">
        <v>0</v>
      </c>
      <c r="AJ31" s="21">
        <v>0</v>
      </c>
      <c r="AK31" s="21">
        <v>0</v>
      </c>
      <c r="AL31" s="21">
        <v>0</v>
      </c>
      <c r="AM31" s="21">
        <v>0</v>
      </c>
      <c r="AN31" s="21">
        <v>0</v>
      </c>
      <c r="AO31" s="21">
        <v>0</v>
      </c>
      <c r="AP31" s="21">
        <v>0</v>
      </c>
      <c r="AQ31" s="21">
        <v>0</v>
      </c>
      <c r="AR31" s="21">
        <v>0</v>
      </c>
      <c r="AS31" s="21">
        <v>0</v>
      </c>
      <c r="AT31" s="21">
        <v>0</v>
      </c>
      <c r="AU31" s="21">
        <v>0</v>
      </c>
      <c r="AV31" s="21">
        <v>0</v>
      </c>
      <c r="AW31" s="21">
        <v>0</v>
      </c>
      <c r="AX31" s="21">
        <v>0</v>
      </c>
      <c r="AY31" s="21">
        <v>0</v>
      </c>
      <c r="AZ31" s="21">
        <v>0</v>
      </c>
      <c r="BA31" s="21">
        <v>0</v>
      </c>
      <c r="BB31" s="21">
        <v>0</v>
      </c>
      <c r="BC31" s="21">
        <v>0</v>
      </c>
      <c r="BD31" s="21">
        <v>0</v>
      </c>
      <c r="BE31" s="21">
        <v>0</v>
      </c>
      <c r="BF31" s="21">
        <v>0</v>
      </c>
      <c r="BG31" s="21">
        <v>0</v>
      </c>
      <c r="BH31" s="21">
        <v>0</v>
      </c>
      <c r="BI31" s="21">
        <v>0</v>
      </c>
      <c r="BJ31" s="21">
        <v>0</v>
      </c>
      <c r="BK31" s="21">
        <v>0</v>
      </c>
      <c r="BL31" s="5"/>
      <c r="BM31" s="5">
        <f>SUM(SUMPRODUCT($AH$4:$BK$4,D31:AG31), AH31:BK31)</f>
        <v>0</v>
      </c>
      <c r="BN31" s="10" t="s">
        <v>100</v>
      </c>
      <c r="BO31" s="15">
        <v>0</v>
      </c>
    </row>
    <row r="32" spans="1:67" x14ac:dyDescent="0.2">
      <c r="A32" s="2"/>
      <c r="B32" s="2"/>
      <c r="C32" s="44"/>
      <c r="D32" s="5">
        <v>1</v>
      </c>
      <c r="E32" s="5">
        <v>1</v>
      </c>
      <c r="F32" s="5">
        <v>1</v>
      </c>
      <c r="G32" s="5">
        <v>0</v>
      </c>
      <c r="H32" s="5">
        <v>0</v>
      </c>
      <c r="I32" s="5">
        <v>0</v>
      </c>
      <c r="J32" s="5">
        <v>1</v>
      </c>
      <c r="K32" s="5">
        <v>1</v>
      </c>
      <c r="L32" s="5">
        <v>1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-1</v>
      </c>
      <c r="AJ32" s="21">
        <v>0</v>
      </c>
      <c r="AK32" s="21">
        <v>0</v>
      </c>
      <c r="AL32" s="21">
        <v>0</v>
      </c>
      <c r="AM32" s="21">
        <v>0</v>
      </c>
      <c r="AN32" s="21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1">
        <v>0</v>
      </c>
      <c r="AV32" s="21">
        <v>0</v>
      </c>
      <c r="AW32" s="21">
        <v>0</v>
      </c>
      <c r="AX32" s="21">
        <v>0</v>
      </c>
      <c r="AY32" s="21">
        <v>0</v>
      </c>
      <c r="AZ32" s="21">
        <v>0</v>
      </c>
      <c r="BA32" s="21">
        <v>0</v>
      </c>
      <c r="BB32" s="21">
        <v>0</v>
      </c>
      <c r="BC32" s="21">
        <v>0</v>
      </c>
      <c r="BD32" s="21">
        <v>0</v>
      </c>
      <c r="BE32" s="21">
        <v>0</v>
      </c>
      <c r="BF32" s="21">
        <v>0</v>
      </c>
      <c r="BG32" s="21">
        <v>0</v>
      </c>
      <c r="BH32" s="21">
        <v>0</v>
      </c>
      <c r="BI32" s="21">
        <v>0</v>
      </c>
      <c r="BJ32" s="21">
        <v>0</v>
      </c>
      <c r="BK32" s="21">
        <v>0</v>
      </c>
      <c r="BL32" s="5"/>
      <c r="BM32" s="5">
        <f t="shared" ref="BM32:BM59" si="1">SUM(SUMPRODUCT($AH$4:$BK$4,D32:AG32), AH32:BK32)</f>
        <v>0</v>
      </c>
      <c r="BN32" s="9" t="s">
        <v>100</v>
      </c>
      <c r="BO32" s="14">
        <v>0</v>
      </c>
    </row>
    <row r="33" spans="1:67" x14ac:dyDescent="0.2">
      <c r="A33" s="2"/>
      <c r="B33" s="2"/>
      <c r="C33" s="44"/>
      <c r="D33" s="5">
        <v>0</v>
      </c>
      <c r="E33" s="5">
        <v>1</v>
      </c>
      <c r="F33" s="5">
        <v>1</v>
      </c>
      <c r="G33" s="5">
        <v>1</v>
      </c>
      <c r="H33" s="5">
        <v>0</v>
      </c>
      <c r="I33" s="5">
        <v>0</v>
      </c>
      <c r="J33" s="5">
        <v>0</v>
      </c>
      <c r="K33" s="5">
        <v>1</v>
      </c>
      <c r="L33" s="5">
        <v>1</v>
      </c>
      <c r="M33" s="5">
        <v>1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-1</v>
      </c>
      <c r="AK33" s="5">
        <v>0</v>
      </c>
      <c r="AL33" s="21">
        <v>0</v>
      </c>
      <c r="AM33" s="21">
        <v>0</v>
      </c>
      <c r="AN33" s="21">
        <v>0</v>
      </c>
      <c r="AO33" s="21">
        <v>0</v>
      </c>
      <c r="AP33" s="21">
        <v>0</v>
      </c>
      <c r="AQ33" s="21">
        <v>0</v>
      </c>
      <c r="AR33" s="21">
        <v>0</v>
      </c>
      <c r="AS33" s="21">
        <v>0</v>
      </c>
      <c r="AT33" s="21">
        <v>0</v>
      </c>
      <c r="AU33" s="21">
        <v>0</v>
      </c>
      <c r="AV33" s="21">
        <v>0</v>
      </c>
      <c r="AW33" s="21">
        <v>0</v>
      </c>
      <c r="AX33" s="21">
        <v>0</v>
      </c>
      <c r="AY33" s="21">
        <v>0</v>
      </c>
      <c r="AZ33" s="21">
        <v>0</v>
      </c>
      <c r="BA33" s="21">
        <v>0</v>
      </c>
      <c r="BB33" s="21">
        <v>0</v>
      </c>
      <c r="BC33" s="21">
        <v>0</v>
      </c>
      <c r="BD33" s="21">
        <v>0</v>
      </c>
      <c r="BE33" s="21">
        <v>0</v>
      </c>
      <c r="BF33" s="21">
        <v>0</v>
      </c>
      <c r="BG33" s="21">
        <v>0</v>
      </c>
      <c r="BH33" s="21">
        <v>0</v>
      </c>
      <c r="BI33" s="21">
        <v>0</v>
      </c>
      <c r="BJ33" s="21">
        <v>0</v>
      </c>
      <c r="BK33" s="21">
        <v>0</v>
      </c>
      <c r="BL33" s="5"/>
      <c r="BM33" s="5">
        <f t="shared" si="1"/>
        <v>0</v>
      </c>
      <c r="BN33" s="9" t="s">
        <v>100</v>
      </c>
      <c r="BO33" s="14">
        <v>0</v>
      </c>
    </row>
    <row r="34" spans="1:67" x14ac:dyDescent="0.2">
      <c r="A34" s="2"/>
      <c r="B34" s="2"/>
      <c r="C34" s="44"/>
      <c r="D34" s="5">
        <v>0</v>
      </c>
      <c r="E34" s="5">
        <v>0</v>
      </c>
      <c r="F34" s="5">
        <v>1</v>
      </c>
      <c r="G34" s="5">
        <v>1</v>
      </c>
      <c r="H34" s="5">
        <v>1</v>
      </c>
      <c r="I34" s="5">
        <v>0</v>
      </c>
      <c r="J34" s="5">
        <v>0</v>
      </c>
      <c r="K34" s="5">
        <v>0</v>
      </c>
      <c r="L34" s="5">
        <v>1</v>
      </c>
      <c r="M34" s="5">
        <v>1</v>
      </c>
      <c r="N34" s="5">
        <v>1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6">
        <v>-1</v>
      </c>
      <c r="AL34" s="21">
        <v>0</v>
      </c>
      <c r="AM34" s="21">
        <v>0</v>
      </c>
      <c r="AN34" s="21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1">
        <v>0</v>
      </c>
      <c r="AV34" s="21">
        <v>0</v>
      </c>
      <c r="AW34" s="21">
        <v>0</v>
      </c>
      <c r="AX34" s="21">
        <v>0</v>
      </c>
      <c r="AY34" s="21">
        <v>0</v>
      </c>
      <c r="AZ34" s="21">
        <v>0</v>
      </c>
      <c r="BA34" s="21">
        <v>0</v>
      </c>
      <c r="BB34" s="21">
        <v>0</v>
      </c>
      <c r="BC34" s="21">
        <v>0</v>
      </c>
      <c r="BD34" s="21">
        <v>0</v>
      </c>
      <c r="BE34" s="21">
        <v>0</v>
      </c>
      <c r="BF34" s="21">
        <v>0</v>
      </c>
      <c r="BG34" s="21">
        <v>0</v>
      </c>
      <c r="BH34" s="21">
        <v>0</v>
      </c>
      <c r="BI34" s="21">
        <v>0</v>
      </c>
      <c r="BJ34" s="21">
        <v>0</v>
      </c>
      <c r="BK34" s="21">
        <v>0</v>
      </c>
      <c r="BL34" s="5"/>
      <c r="BM34" s="5">
        <f t="shared" si="1"/>
        <v>1</v>
      </c>
      <c r="BN34" s="9" t="s">
        <v>100</v>
      </c>
      <c r="BO34" s="14">
        <v>0</v>
      </c>
    </row>
    <row r="35" spans="1:67" x14ac:dyDescent="0.2">
      <c r="A35" s="2"/>
      <c r="B35" s="2"/>
      <c r="C35" s="44"/>
      <c r="D35" s="5">
        <v>0</v>
      </c>
      <c r="E35" s="5">
        <v>0</v>
      </c>
      <c r="F35" s="5">
        <v>0</v>
      </c>
      <c r="G35" s="5">
        <v>1</v>
      </c>
      <c r="H35" s="5">
        <v>1</v>
      </c>
      <c r="I35" s="5">
        <v>1</v>
      </c>
      <c r="J35" s="5">
        <v>0</v>
      </c>
      <c r="K35" s="5">
        <v>0</v>
      </c>
      <c r="L35" s="5">
        <v>0</v>
      </c>
      <c r="M35" s="5">
        <v>1</v>
      </c>
      <c r="N35" s="5">
        <v>1</v>
      </c>
      <c r="O35" s="5">
        <v>1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6">
        <v>-1</v>
      </c>
      <c r="AM35" s="21">
        <v>0</v>
      </c>
      <c r="AN35" s="21">
        <v>0</v>
      </c>
      <c r="AO35" s="21">
        <v>0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  <c r="BC35" s="21">
        <v>0</v>
      </c>
      <c r="BD35" s="21">
        <v>0</v>
      </c>
      <c r="BE35" s="21">
        <v>0</v>
      </c>
      <c r="BF35" s="21">
        <v>0</v>
      </c>
      <c r="BG35" s="21">
        <v>0</v>
      </c>
      <c r="BH35" s="21">
        <v>0</v>
      </c>
      <c r="BI35" s="21">
        <v>0</v>
      </c>
      <c r="BJ35" s="21">
        <v>0</v>
      </c>
      <c r="BK35" s="21">
        <v>0</v>
      </c>
      <c r="BL35" s="5"/>
      <c r="BM35" s="5">
        <f t="shared" si="1"/>
        <v>1</v>
      </c>
      <c r="BN35" s="9" t="s">
        <v>100</v>
      </c>
      <c r="BO35" s="14">
        <v>0</v>
      </c>
    </row>
    <row r="36" spans="1:67" x14ac:dyDescent="0.2">
      <c r="A36" s="2"/>
      <c r="B36" s="2"/>
      <c r="C36" s="44"/>
      <c r="D36" s="5">
        <v>0</v>
      </c>
      <c r="E36" s="5">
        <v>0</v>
      </c>
      <c r="F36" s="5">
        <v>0</v>
      </c>
      <c r="G36" s="5">
        <v>0</v>
      </c>
      <c r="H36" s="5">
        <v>1</v>
      </c>
      <c r="I36" s="5">
        <v>1</v>
      </c>
      <c r="J36" s="5">
        <v>0</v>
      </c>
      <c r="K36" s="5">
        <v>0</v>
      </c>
      <c r="L36" s="5">
        <v>0</v>
      </c>
      <c r="M36" s="5">
        <v>0</v>
      </c>
      <c r="N36" s="5">
        <v>1</v>
      </c>
      <c r="O36" s="5">
        <v>1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21">
        <v>0</v>
      </c>
      <c r="AM36" s="6">
        <v>-1</v>
      </c>
      <c r="AN36" s="21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1">
        <v>0</v>
      </c>
      <c r="AV36" s="21">
        <v>0</v>
      </c>
      <c r="AW36" s="21">
        <v>0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  <c r="BC36" s="21">
        <v>0</v>
      </c>
      <c r="BD36" s="21">
        <v>0</v>
      </c>
      <c r="BE36" s="21">
        <v>0</v>
      </c>
      <c r="BF36" s="21">
        <v>0</v>
      </c>
      <c r="BG36" s="21">
        <v>0</v>
      </c>
      <c r="BH36" s="21">
        <v>0</v>
      </c>
      <c r="BI36" s="21">
        <v>0</v>
      </c>
      <c r="BJ36" s="21">
        <v>0</v>
      </c>
      <c r="BK36" s="21">
        <v>0</v>
      </c>
      <c r="BL36" s="5"/>
      <c r="BM36" s="5">
        <f t="shared" si="1"/>
        <v>1</v>
      </c>
      <c r="BN36" s="9" t="s">
        <v>100</v>
      </c>
      <c r="BO36" s="14">
        <v>0</v>
      </c>
    </row>
    <row r="37" spans="1:67" x14ac:dyDescent="0.2">
      <c r="A37" s="2"/>
      <c r="B37" s="2"/>
      <c r="C37" s="44"/>
      <c r="D37" s="5">
        <v>1</v>
      </c>
      <c r="E37" s="5">
        <v>1</v>
      </c>
      <c r="F37" s="5">
        <v>0</v>
      </c>
      <c r="G37" s="5">
        <v>0</v>
      </c>
      <c r="H37" s="5">
        <v>0</v>
      </c>
      <c r="I37" s="5">
        <v>0</v>
      </c>
      <c r="J37" s="5">
        <v>1</v>
      </c>
      <c r="K37" s="5">
        <v>1</v>
      </c>
      <c r="L37" s="5">
        <v>0</v>
      </c>
      <c r="M37" s="5">
        <v>0</v>
      </c>
      <c r="N37" s="5">
        <v>0</v>
      </c>
      <c r="O37" s="5">
        <v>0</v>
      </c>
      <c r="P37" s="5">
        <v>1</v>
      </c>
      <c r="Q37" s="5">
        <v>1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21">
        <v>0</v>
      </c>
      <c r="AM37" s="21">
        <v>0</v>
      </c>
      <c r="AN37" s="6">
        <v>-1</v>
      </c>
      <c r="AO37" s="21">
        <v>0</v>
      </c>
      <c r="AP37" s="21">
        <v>0</v>
      </c>
      <c r="AQ37" s="21">
        <v>0</v>
      </c>
      <c r="AR37" s="21">
        <v>0</v>
      </c>
      <c r="AS37" s="21">
        <v>0</v>
      </c>
      <c r="AT37" s="21">
        <v>0</v>
      </c>
      <c r="AU37" s="21">
        <v>0</v>
      </c>
      <c r="AV37" s="21">
        <v>0</v>
      </c>
      <c r="AW37" s="21">
        <v>0</v>
      </c>
      <c r="AX37" s="21">
        <v>0</v>
      </c>
      <c r="AY37" s="21">
        <v>0</v>
      </c>
      <c r="AZ37" s="21">
        <v>0</v>
      </c>
      <c r="BA37" s="21">
        <v>0</v>
      </c>
      <c r="BB37" s="21">
        <v>0</v>
      </c>
      <c r="BC37" s="21">
        <v>0</v>
      </c>
      <c r="BD37" s="21">
        <v>0</v>
      </c>
      <c r="BE37" s="21">
        <v>0</v>
      </c>
      <c r="BF37" s="21">
        <v>0</v>
      </c>
      <c r="BG37" s="21">
        <v>0</v>
      </c>
      <c r="BH37" s="21">
        <v>0</v>
      </c>
      <c r="BI37" s="21">
        <v>0</v>
      </c>
      <c r="BJ37" s="21">
        <v>0</v>
      </c>
      <c r="BK37" s="21">
        <v>0</v>
      </c>
      <c r="BL37" s="5"/>
      <c r="BM37" s="5">
        <f t="shared" si="1"/>
        <v>0</v>
      </c>
      <c r="BN37" s="9" t="s">
        <v>100</v>
      </c>
      <c r="BO37" s="14">
        <v>0</v>
      </c>
    </row>
    <row r="38" spans="1:67" x14ac:dyDescent="0.2">
      <c r="A38" s="2"/>
      <c r="B38" s="2"/>
      <c r="C38" s="44"/>
      <c r="D38" s="5">
        <v>1</v>
      </c>
      <c r="E38" s="5">
        <v>1</v>
      </c>
      <c r="F38" s="5">
        <v>1</v>
      </c>
      <c r="G38" s="5">
        <v>0</v>
      </c>
      <c r="H38" s="5">
        <v>0</v>
      </c>
      <c r="I38" s="5">
        <v>0</v>
      </c>
      <c r="J38" s="5">
        <v>1</v>
      </c>
      <c r="K38" s="5">
        <v>1</v>
      </c>
      <c r="L38" s="5">
        <v>1</v>
      </c>
      <c r="M38" s="5">
        <v>0</v>
      </c>
      <c r="N38" s="5">
        <v>0</v>
      </c>
      <c r="O38" s="5">
        <v>0</v>
      </c>
      <c r="P38" s="5">
        <v>1</v>
      </c>
      <c r="Q38" s="5">
        <v>1</v>
      </c>
      <c r="R38" s="5">
        <v>1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21">
        <v>0</v>
      </c>
      <c r="AM38" s="21">
        <v>0</v>
      </c>
      <c r="AN38" s="21">
        <v>0</v>
      </c>
      <c r="AO38" s="6">
        <v>-1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1">
        <v>0</v>
      </c>
      <c r="AV38" s="21">
        <v>0</v>
      </c>
      <c r="AW38" s="21">
        <v>0</v>
      </c>
      <c r="AX38" s="21">
        <v>0</v>
      </c>
      <c r="AY38" s="21">
        <v>0</v>
      </c>
      <c r="AZ38" s="21">
        <v>0</v>
      </c>
      <c r="BA38" s="21">
        <v>0</v>
      </c>
      <c r="BB38" s="21">
        <v>0</v>
      </c>
      <c r="BC38" s="21">
        <v>0</v>
      </c>
      <c r="BD38" s="21">
        <v>0</v>
      </c>
      <c r="BE38" s="21">
        <v>0</v>
      </c>
      <c r="BF38" s="21">
        <v>0</v>
      </c>
      <c r="BG38" s="21">
        <v>0</v>
      </c>
      <c r="BH38" s="21">
        <v>0</v>
      </c>
      <c r="BI38" s="21">
        <v>0</v>
      </c>
      <c r="BJ38" s="21">
        <v>0</v>
      </c>
      <c r="BK38" s="21">
        <v>0</v>
      </c>
      <c r="BL38" s="5"/>
      <c r="BM38" s="5">
        <f t="shared" si="1"/>
        <v>0</v>
      </c>
      <c r="BN38" s="9" t="s">
        <v>100</v>
      </c>
      <c r="BO38" s="14">
        <v>0</v>
      </c>
    </row>
    <row r="39" spans="1:67" x14ac:dyDescent="0.2">
      <c r="A39" s="2"/>
      <c r="B39" s="2"/>
      <c r="C39" s="44"/>
      <c r="D39" s="5">
        <v>0</v>
      </c>
      <c r="E39" s="5">
        <v>1</v>
      </c>
      <c r="F39" s="5">
        <v>1</v>
      </c>
      <c r="G39" s="5">
        <v>1</v>
      </c>
      <c r="H39" s="5">
        <v>0</v>
      </c>
      <c r="I39" s="5">
        <v>0</v>
      </c>
      <c r="J39" s="5">
        <v>0</v>
      </c>
      <c r="K39" s="5">
        <v>1</v>
      </c>
      <c r="L39" s="5">
        <v>1</v>
      </c>
      <c r="M39" s="5">
        <v>1</v>
      </c>
      <c r="N39" s="5">
        <v>0</v>
      </c>
      <c r="O39" s="5">
        <v>0</v>
      </c>
      <c r="P39" s="5">
        <v>0</v>
      </c>
      <c r="Q39" s="5">
        <v>1</v>
      </c>
      <c r="R39" s="5">
        <v>1</v>
      </c>
      <c r="S39" s="5">
        <v>1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21">
        <v>0</v>
      </c>
      <c r="AM39" s="21">
        <v>0</v>
      </c>
      <c r="AN39" s="21">
        <v>0</v>
      </c>
      <c r="AO39" s="21">
        <v>0</v>
      </c>
      <c r="AP39" s="6">
        <v>-1</v>
      </c>
      <c r="AQ39" s="21">
        <v>0</v>
      </c>
      <c r="AR39" s="21">
        <v>0</v>
      </c>
      <c r="AS39" s="21">
        <v>0</v>
      </c>
      <c r="AT39" s="21">
        <v>0</v>
      </c>
      <c r="AU39" s="6">
        <v>0</v>
      </c>
      <c r="AV39" s="21">
        <v>0</v>
      </c>
      <c r="AW39" s="21">
        <v>0</v>
      </c>
      <c r="AX39" s="21">
        <v>0</v>
      </c>
      <c r="AY39" s="21">
        <v>0</v>
      </c>
      <c r="AZ39" s="21">
        <v>0</v>
      </c>
      <c r="BA39" s="21">
        <v>0</v>
      </c>
      <c r="BB39" s="21">
        <v>0</v>
      </c>
      <c r="BC39" s="21">
        <v>0</v>
      </c>
      <c r="BD39" s="21">
        <v>0</v>
      </c>
      <c r="BE39" s="21">
        <v>0</v>
      </c>
      <c r="BF39" s="21">
        <v>0</v>
      </c>
      <c r="BG39" s="21">
        <v>0</v>
      </c>
      <c r="BH39" s="21">
        <v>0</v>
      </c>
      <c r="BI39" s="21">
        <v>0</v>
      </c>
      <c r="BJ39" s="21">
        <v>0</v>
      </c>
      <c r="BK39" s="21">
        <v>0</v>
      </c>
      <c r="BL39" s="5"/>
      <c r="BM39" s="5">
        <f t="shared" si="1"/>
        <v>0</v>
      </c>
      <c r="BN39" s="9" t="s">
        <v>100</v>
      </c>
      <c r="BO39" s="14">
        <v>0</v>
      </c>
    </row>
    <row r="40" spans="1:67" x14ac:dyDescent="0.2">
      <c r="A40" s="2"/>
      <c r="B40" s="2"/>
      <c r="C40" s="44"/>
      <c r="D40" s="5">
        <v>0</v>
      </c>
      <c r="E40" s="5">
        <v>0</v>
      </c>
      <c r="F40" s="5">
        <v>1</v>
      </c>
      <c r="G40" s="5">
        <v>1</v>
      </c>
      <c r="H40" s="5">
        <v>1</v>
      </c>
      <c r="I40" s="5">
        <v>0</v>
      </c>
      <c r="J40" s="5">
        <v>0</v>
      </c>
      <c r="K40" s="5">
        <v>0</v>
      </c>
      <c r="L40" s="5">
        <v>1</v>
      </c>
      <c r="M40" s="5">
        <v>1</v>
      </c>
      <c r="N40" s="5">
        <v>1</v>
      </c>
      <c r="O40" s="5">
        <v>0</v>
      </c>
      <c r="P40" s="5">
        <v>0</v>
      </c>
      <c r="Q40" s="5">
        <v>0</v>
      </c>
      <c r="R40" s="5">
        <v>1</v>
      </c>
      <c r="S40" s="5">
        <v>1</v>
      </c>
      <c r="T40" s="5">
        <v>1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21">
        <v>0</v>
      </c>
      <c r="AM40" s="21">
        <v>0</v>
      </c>
      <c r="AN40" s="21">
        <v>0</v>
      </c>
      <c r="AO40" s="21">
        <v>0</v>
      </c>
      <c r="AP40" s="21">
        <v>0</v>
      </c>
      <c r="AQ40" s="6">
        <v>-1</v>
      </c>
      <c r="AR40" s="21">
        <v>0</v>
      </c>
      <c r="AS40" s="21">
        <v>0</v>
      </c>
      <c r="AT40" s="21">
        <v>0</v>
      </c>
      <c r="AU40" s="6">
        <v>0</v>
      </c>
      <c r="AV40" s="21">
        <v>0</v>
      </c>
      <c r="AW40" s="21">
        <v>0</v>
      </c>
      <c r="AX40" s="21">
        <v>0</v>
      </c>
      <c r="AY40" s="21">
        <v>0</v>
      </c>
      <c r="AZ40" s="21">
        <v>0</v>
      </c>
      <c r="BA40" s="21">
        <v>0</v>
      </c>
      <c r="BB40" s="21">
        <v>0</v>
      </c>
      <c r="BC40" s="21">
        <v>0</v>
      </c>
      <c r="BD40" s="21">
        <v>0</v>
      </c>
      <c r="BE40" s="21">
        <v>0</v>
      </c>
      <c r="BF40" s="21">
        <v>0</v>
      </c>
      <c r="BG40" s="21">
        <v>0</v>
      </c>
      <c r="BH40" s="21">
        <v>0</v>
      </c>
      <c r="BI40" s="21">
        <v>0</v>
      </c>
      <c r="BJ40" s="21">
        <v>0</v>
      </c>
      <c r="BK40" s="21">
        <v>0</v>
      </c>
      <c r="BL40" s="5"/>
      <c r="BM40" s="5">
        <f t="shared" si="1"/>
        <v>1</v>
      </c>
      <c r="BN40" s="9" t="s">
        <v>100</v>
      </c>
      <c r="BO40" s="14">
        <v>0</v>
      </c>
    </row>
    <row r="41" spans="1:67" x14ac:dyDescent="0.2">
      <c r="A41" s="2"/>
      <c r="B41" s="2"/>
      <c r="C41" s="44"/>
      <c r="D41" s="5">
        <v>0</v>
      </c>
      <c r="E41" s="5">
        <v>0</v>
      </c>
      <c r="F41" s="5">
        <v>0</v>
      </c>
      <c r="G41" s="5">
        <v>1</v>
      </c>
      <c r="H41" s="5">
        <v>1</v>
      </c>
      <c r="I41" s="5">
        <v>1</v>
      </c>
      <c r="J41" s="5">
        <v>0</v>
      </c>
      <c r="K41" s="5">
        <v>0</v>
      </c>
      <c r="L41" s="5">
        <v>0</v>
      </c>
      <c r="M41" s="5">
        <v>1</v>
      </c>
      <c r="N41" s="5">
        <v>1</v>
      </c>
      <c r="O41" s="5">
        <v>1</v>
      </c>
      <c r="P41" s="5">
        <v>0</v>
      </c>
      <c r="Q41" s="5">
        <v>0</v>
      </c>
      <c r="R41" s="5">
        <v>0</v>
      </c>
      <c r="S41" s="5">
        <v>1</v>
      </c>
      <c r="T41" s="5">
        <v>1</v>
      </c>
      <c r="U41" s="5">
        <v>1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21">
        <v>0</v>
      </c>
      <c r="AM41" s="21">
        <v>0</v>
      </c>
      <c r="AN41" s="21">
        <v>0</v>
      </c>
      <c r="AO41" s="21">
        <v>0</v>
      </c>
      <c r="AP41" s="21">
        <v>0</v>
      </c>
      <c r="AQ41" s="21">
        <v>0</v>
      </c>
      <c r="AR41" s="6">
        <v>-1</v>
      </c>
      <c r="AS41" s="6">
        <v>0</v>
      </c>
      <c r="AT41" s="21">
        <v>0</v>
      </c>
      <c r="AU41" s="6">
        <v>0</v>
      </c>
      <c r="AV41" s="21">
        <v>0</v>
      </c>
      <c r="AW41" s="21">
        <v>0</v>
      </c>
      <c r="AX41" s="21">
        <v>0</v>
      </c>
      <c r="AY41" s="21">
        <v>0</v>
      </c>
      <c r="AZ41" s="21">
        <v>0</v>
      </c>
      <c r="BA41" s="21">
        <v>0</v>
      </c>
      <c r="BB41" s="21">
        <v>0</v>
      </c>
      <c r="BC41" s="21">
        <v>0</v>
      </c>
      <c r="BD41" s="21">
        <v>0</v>
      </c>
      <c r="BE41" s="21">
        <v>0</v>
      </c>
      <c r="BF41" s="21">
        <v>0</v>
      </c>
      <c r="BG41" s="21">
        <v>0</v>
      </c>
      <c r="BH41" s="21">
        <v>0</v>
      </c>
      <c r="BI41" s="21">
        <v>0</v>
      </c>
      <c r="BJ41" s="21">
        <v>0</v>
      </c>
      <c r="BK41" s="21">
        <v>0</v>
      </c>
      <c r="BL41" s="5"/>
      <c r="BM41" s="5">
        <f t="shared" si="1"/>
        <v>1</v>
      </c>
      <c r="BN41" s="9" t="s">
        <v>100</v>
      </c>
      <c r="BO41" s="14">
        <v>0</v>
      </c>
    </row>
    <row r="42" spans="1:67" x14ac:dyDescent="0.2">
      <c r="A42" s="2"/>
      <c r="B42" s="2"/>
      <c r="C42" s="44"/>
      <c r="D42" s="5">
        <v>0</v>
      </c>
      <c r="E42" s="5">
        <v>0</v>
      </c>
      <c r="F42" s="5">
        <v>0</v>
      </c>
      <c r="G42" s="5">
        <v>0</v>
      </c>
      <c r="H42" s="5">
        <v>1</v>
      </c>
      <c r="I42" s="5">
        <v>1</v>
      </c>
      <c r="J42" s="5">
        <v>0</v>
      </c>
      <c r="K42" s="5">
        <v>0</v>
      </c>
      <c r="L42" s="5">
        <v>0</v>
      </c>
      <c r="M42" s="5">
        <v>0</v>
      </c>
      <c r="N42" s="5">
        <v>1</v>
      </c>
      <c r="O42" s="5">
        <v>1</v>
      </c>
      <c r="P42" s="5">
        <v>0</v>
      </c>
      <c r="Q42" s="5">
        <v>0</v>
      </c>
      <c r="R42" s="5">
        <v>0</v>
      </c>
      <c r="S42" s="5">
        <v>0</v>
      </c>
      <c r="T42" s="5">
        <v>1</v>
      </c>
      <c r="U42" s="5">
        <v>1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21">
        <v>0</v>
      </c>
      <c r="AM42" s="21">
        <v>0</v>
      </c>
      <c r="AN42" s="21">
        <v>0</v>
      </c>
      <c r="AO42" s="21">
        <v>0</v>
      </c>
      <c r="AP42" s="21">
        <v>0</v>
      </c>
      <c r="AQ42" s="21">
        <v>0</v>
      </c>
      <c r="AR42" s="21">
        <v>0</v>
      </c>
      <c r="AS42" s="6">
        <v>-1</v>
      </c>
      <c r="AT42" s="21">
        <v>0</v>
      </c>
      <c r="AU42" s="6">
        <v>0</v>
      </c>
      <c r="AV42" s="21">
        <v>0</v>
      </c>
      <c r="AW42" s="21">
        <v>0</v>
      </c>
      <c r="AX42" s="21">
        <v>0</v>
      </c>
      <c r="AY42" s="21">
        <v>0</v>
      </c>
      <c r="AZ42" s="21">
        <v>0</v>
      </c>
      <c r="BA42" s="21">
        <v>0</v>
      </c>
      <c r="BB42" s="21">
        <v>0</v>
      </c>
      <c r="BC42" s="21">
        <v>0</v>
      </c>
      <c r="BD42" s="21">
        <v>0</v>
      </c>
      <c r="BE42" s="21">
        <v>0</v>
      </c>
      <c r="BF42" s="21">
        <v>0</v>
      </c>
      <c r="BG42" s="21">
        <v>0</v>
      </c>
      <c r="BH42" s="21">
        <v>0</v>
      </c>
      <c r="BI42" s="21">
        <v>0</v>
      </c>
      <c r="BJ42" s="21">
        <v>0</v>
      </c>
      <c r="BK42" s="21">
        <v>0</v>
      </c>
      <c r="BL42" s="5"/>
      <c r="BM42" s="5">
        <f t="shared" si="1"/>
        <v>1</v>
      </c>
      <c r="BN42" s="9" t="s">
        <v>100</v>
      </c>
      <c r="BO42" s="14">
        <v>0</v>
      </c>
    </row>
    <row r="43" spans="1:67" x14ac:dyDescent="0.2">
      <c r="A43" s="2"/>
      <c r="B43" s="2"/>
      <c r="C43" s="44"/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1</v>
      </c>
      <c r="K43" s="5">
        <v>1</v>
      </c>
      <c r="L43" s="5">
        <v>0</v>
      </c>
      <c r="M43" s="5">
        <v>0</v>
      </c>
      <c r="N43" s="5">
        <v>0</v>
      </c>
      <c r="O43" s="5">
        <v>0</v>
      </c>
      <c r="P43" s="5">
        <v>1</v>
      </c>
      <c r="Q43" s="5">
        <v>1</v>
      </c>
      <c r="R43" s="5">
        <v>0</v>
      </c>
      <c r="S43" s="5">
        <v>0</v>
      </c>
      <c r="T43" s="5">
        <v>0</v>
      </c>
      <c r="U43" s="5">
        <v>0</v>
      </c>
      <c r="V43" s="5">
        <v>1</v>
      </c>
      <c r="W43" s="5">
        <v>1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21">
        <v>0</v>
      </c>
      <c r="AM43" s="21">
        <v>0</v>
      </c>
      <c r="AN43" s="21">
        <v>0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6">
        <v>-1</v>
      </c>
      <c r="AU43" s="6">
        <v>0</v>
      </c>
      <c r="AV43" s="21">
        <v>0</v>
      </c>
      <c r="AW43" s="21">
        <v>0</v>
      </c>
      <c r="AX43" s="21">
        <v>0</v>
      </c>
      <c r="AY43" s="21">
        <v>0</v>
      </c>
      <c r="AZ43" s="21">
        <v>0</v>
      </c>
      <c r="BA43" s="21">
        <v>0</v>
      </c>
      <c r="BB43" s="21">
        <v>0</v>
      </c>
      <c r="BC43" s="21">
        <v>0</v>
      </c>
      <c r="BD43" s="21">
        <v>0</v>
      </c>
      <c r="BE43" s="21">
        <v>0</v>
      </c>
      <c r="BF43" s="21">
        <v>0</v>
      </c>
      <c r="BG43" s="21">
        <v>0</v>
      </c>
      <c r="BH43" s="21">
        <v>0</v>
      </c>
      <c r="BI43" s="21">
        <v>0</v>
      </c>
      <c r="BJ43" s="21">
        <v>0</v>
      </c>
      <c r="BK43" s="21">
        <v>0</v>
      </c>
      <c r="BL43" s="5"/>
      <c r="BM43" s="5">
        <f t="shared" si="1"/>
        <v>-1</v>
      </c>
      <c r="BN43" s="9" t="s">
        <v>100</v>
      </c>
      <c r="BO43" s="14">
        <v>0</v>
      </c>
    </row>
    <row r="44" spans="1:67" x14ac:dyDescent="0.2">
      <c r="A44" s="2"/>
      <c r="B44" s="2"/>
      <c r="C44" s="44"/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1</v>
      </c>
      <c r="K44" s="5">
        <v>1</v>
      </c>
      <c r="L44" s="5">
        <v>1</v>
      </c>
      <c r="M44" s="5">
        <v>0</v>
      </c>
      <c r="N44" s="5">
        <v>0</v>
      </c>
      <c r="O44" s="5">
        <v>0</v>
      </c>
      <c r="P44" s="5">
        <v>1</v>
      </c>
      <c r="Q44" s="5">
        <v>1</v>
      </c>
      <c r="R44" s="5">
        <v>1</v>
      </c>
      <c r="S44" s="5">
        <v>0</v>
      </c>
      <c r="T44" s="5">
        <v>0</v>
      </c>
      <c r="U44" s="5">
        <v>0</v>
      </c>
      <c r="V44" s="5">
        <v>1</v>
      </c>
      <c r="W44" s="5">
        <v>1</v>
      </c>
      <c r="X44" s="5">
        <v>1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21">
        <v>0</v>
      </c>
      <c r="AM44" s="21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-1</v>
      </c>
      <c r="AV44" s="21">
        <v>0</v>
      </c>
      <c r="AW44" s="21">
        <v>0</v>
      </c>
      <c r="AX44" s="21">
        <v>0</v>
      </c>
      <c r="AY44" s="21">
        <v>0</v>
      </c>
      <c r="AZ44" s="21">
        <v>0</v>
      </c>
      <c r="BA44" s="21">
        <v>0</v>
      </c>
      <c r="BB44" s="21">
        <v>0</v>
      </c>
      <c r="BC44" s="21">
        <v>0</v>
      </c>
      <c r="BD44" s="21">
        <v>0</v>
      </c>
      <c r="BE44" s="21">
        <v>0</v>
      </c>
      <c r="BF44" s="21">
        <v>0</v>
      </c>
      <c r="BG44" s="21">
        <v>0</v>
      </c>
      <c r="BH44" s="21">
        <v>0</v>
      </c>
      <c r="BI44" s="21">
        <v>0</v>
      </c>
      <c r="BJ44" s="21">
        <v>0</v>
      </c>
      <c r="BK44" s="21">
        <v>0</v>
      </c>
      <c r="BL44" s="5"/>
      <c r="BM44" s="5">
        <f t="shared" si="1"/>
        <v>-1</v>
      </c>
      <c r="BN44" s="9" t="s">
        <v>100</v>
      </c>
      <c r="BO44" s="14">
        <v>0</v>
      </c>
    </row>
    <row r="45" spans="1:67" x14ac:dyDescent="0.2">
      <c r="A45" s="2"/>
      <c r="B45" s="2"/>
      <c r="C45" s="44"/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1</v>
      </c>
      <c r="L45" s="5">
        <v>1</v>
      </c>
      <c r="M45" s="5">
        <v>1</v>
      </c>
      <c r="N45" s="5">
        <v>0</v>
      </c>
      <c r="O45" s="5">
        <v>0</v>
      </c>
      <c r="P45" s="5">
        <v>0</v>
      </c>
      <c r="Q45" s="5">
        <v>1</v>
      </c>
      <c r="R45" s="5">
        <v>1</v>
      </c>
      <c r="S45" s="5">
        <v>1</v>
      </c>
      <c r="T45" s="5">
        <v>0</v>
      </c>
      <c r="U45" s="5">
        <v>0</v>
      </c>
      <c r="V45" s="5">
        <v>0</v>
      </c>
      <c r="W45" s="5">
        <v>1</v>
      </c>
      <c r="X45" s="5">
        <v>1</v>
      </c>
      <c r="Y45" s="5">
        <v>1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21">
        <v>0</v>
      </c>
      <c r="AM45" s="21">
        <v>0</v>
      </c>
      <c r="AN45" s="21">
        <v>0</v>
      </c>
      <c r="AO45" s="21">
        <v>0</v>
      </c>
      <c r="AP45" s="21">
        <v>0</v>
      </c>
      <c r="AQ45" s="21">
        <v>0</v>
      </c>
      <c r="AR45" s="21">
        <v>0</v>
      </c>
      <c r="AS45" s="21">
        <v>0</v>
      </c>
      <c r="AT45" s="21">
        <v>0</v>
      </c>
      <c r="AU45" s="21">
        <v>0</v>
      </c>
      <c r="AV45" s="6">
        <v>-1</v>
      </c>
      <c r="AW45" s="21">
        <v>0</v>
      </c>
      <c r="AX45" s="21">
        <v>0</v>
      </c>
      <c r="AY45" s="21">
        <v>0</v>
      </c>
      <c r="AZ45" s="21">
        <v>0</v>
      </c>
      <c r="BA45" s="21">
        <v>0</v>
      </c>
      <c r="BB45" s="21">
        <v>0</v>
      </c>
      <c r="BC45" s="21">
        <v>0</v>
      </c>
      <c r="BD45" s="21">
        <v>0</v>
      </c>
      <c r="BE45" s="21">
        <v>0</v>
      </c>
      <c r="BF45" s="21">
        <v>0</v>
      </c>
      <c r="BG45" s="21">
        <v>0</v>
      </c>
      <c r="BH45" s="21">
        <v>0</v>
      </c>
      <c r="BI45" s="21">
        <v>0</v>
      </c>
      <c r="BJ45" s="21">
        <v>0</v>
      </c>
      <c r="BK45" s="21">
        <v>0</v>
      </c>
      <c r="BL45" s="5"/>
      <c r="BM45" s="5">
        <f t="shared" si="1"/>
        <v>-1</v>
      </c>
      <c r="BN45" s="9" t="s">
        <v>100</v>
      </c>
      <c r="BO45" s="14">
        <v>0</v>
      </c>
    </row>
    <row r="46" spans="1:67" x14ac:dyDescent="0.2">
      <c r="A46" s="2"/>
      <c r="B46" s="2"/>
      <c r="C46" s="44"/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1</v>
      </c>
      <c r="M46" s="5">
        <v>1</v>
      </c>
      <c r="N46" s="5">
        <v>1</v>
      </c>
      <c r="O46" s="5">
        <v>0</v>
      </c>
      <c r="P46" s="5">
        <v>0</v>
      </c>
      <c r="Q46" s="5">
        <v>0</v>
      </c>
      <c r="R46" s="5">
        <v>1</v>
      </c>
      <c r="S46" s="5">
        <v>1</v>
      </c>
      <c r="T46" s="5">
        <v>1</v>
      </c>
      <c r="U46" s="5">
        <v>0</v>
      </c>
      <c r="V46" s="5">
        <v>0</v>
      </c>
      <c r="W46" s="5">
        <v>0</v>
      </c>
      <c r="X46" s="5">
        <v>1</v>
      </c>
      <c r="Y46" s="5">
        <v>1</v>
      </c>
      <c r="Z46" s="5">
        <v>1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21">
        <v>0</v>
      </c>
      <c r="AM46" s="21">
        <v>0</v>
      </c>
      <c r="AN46" s="21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1">
        <v>0</v>
      </c>
      <c r="AV46" s="21">
        <v>0</v>
      </c>
      <c r="AW46" s="6">
        <v>-1</v>
      </c>
      <c r="AX46" s="21">
        <v>0</v>
      </c>
      <c r="AY46" s="21">
        <v>0</v>
      </c>
      <c r="AZ46" s="21">
        <v>0</v>
      </c>
      <c r="BA46" s="21">
        <v>0</v>
      </c>
      <c r="BB46" s="21">
        <v>0</v>
      </c>
      <c r="BC46" s="21">
        <v>0</v>
      </c>
      <c r="BD46" s="21">
        <v>0</v>
      </c>
      <c r="BE46" s="21">
        <v>0</v>
      </c>
      <c r="BF46" s="21">
        <v>0</v>
      </c>
      <c r="BG46" s="21">
        <v>0</v>
      </c>
      <c r="BH46" s="21">
        <v>0</v>
      </c>
      <c r="BI46" s="21">
        <v>0</v>
      </c>
      <c r="BJ46" s="21">
        <v>0</v>
      </c>
      <c r="BK46" s="21">
        <v>0</v>
      </c>
      <c r="BL46" s="5"/>
      <c r="BM46" s="5">
        <f t="shared" si="1"/>
        <v>0</v>
      </c>
      <c r="BN46" s="9" t="s">
        <v>100</v>
      </c>
      <c r="BO46" s="14">
        <v>0</v>
      </c>
    </row>
    <row r="47" spans="1:67" x14ac:dyDescent="0.2">
      <c r="A47" s="2"/>
      <c r="B47" s="2"/>
      <c r="C47" s="44"/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1</v>
      </c>
      <c r="N47" s="5">
        <v>1</v>
      </c>
      <c r="O47" s="5">
        <v>1</v>
      </c>
      <c r="P47" s="5">
        <v>0</v>
      </c>
      <c r="Q47" s="5">
        <v>0</v>
      </c>
      <c r="R47" s="5">
        <v>0</v>
      </c>
      <c r="S47" s="5">
        <v>1</v>
      </c>
      <c r="T47" s="5">
        <v>1</v>
      </c>
      <c r="U47" s="5">
        <v>1</v>
      </c>
      <c r="V47" s="5">
        <v>0</v>
      </c>
      <c r="W47" s="5">
        <v>0</v>
      </c>
      <c r="X47" s="5">
        <v>0</v>
      </c>
      <c r="Y47" s="5">
        <v>1</v>
      </c>
      <c r="Z47" s="5">
        <v>1</v>
      </c>
      <c r="AA47" s="5">
        <v>1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21">
        <v>0</v>
      </c>
      <c r="AM47" s="21">
        <v>0</v>
      </c>
      <c r="AN47" s="21">
        <v>0</v>
      </c>
      <c r="AO47" s="21">
        <v>0</v>
      </c>
      <c r="AP47" s="21">
        <v>0</v>
      </c>
      <c r="AQ47" s="21">
        <v>0</v>
      </c>
      <c r="AR47" s="21">
        <v>0</v>
      </c>
      <c r="AS47" s="21">
        <v>0</v>
      </c>
      <c r="AT47" s="21">
        <v>0</v>
      </c>
      <c r="AU47" s="21">
        <v>0</v>
      </c>
      <c r="AV47" s="21">
        <v>0</v>
      </c>
      <c r="AW47" s="21">
        <v>0</v>
      </c>
      <c r="AX47" s="6">
        <v>-1</v>
      </c>
      <c r="AY47" s="21">
        <v>0</v>
      </c>
      <c r="AZ47" s="21">
        <v>0</v>
      </c>
      <c r="BA47" s="21">
        <v>0</v>
      </c>
      <c r="BB47" s="21">
        <v>0</v>
      </c>
      <c r="BC47" s="21">
        <v>0</v>
      </c>
      <c r="BD47" s="21">
        <v>0</v>
      </c>
      <c r="BE47" s="21">
        <v>0</v>
      </c>
      <c r="BF47" s="21">
        <v>0</v>
      </c>
      <c r="BG47" s="21">
        <v>0</v>
      </c>
      <c r="BH47" s="21">
        <v>0</v>
      </c>
      <c r="BI47" s="21">
        <v>0</v>
      </c>
      <c r="BJ47" s="21">
        <v>0</v>
      </c>
      <c r="BK47" s="21">
        <v>0</v>
      </c>
      <c r="BL47" s="5"/>
      <c r="BM47" s="5">
        <f t="shared" si="1"/>
        <v>0</v>
      </c>
      <c r="BN47" s="9" t="s">
        <v>100</v>
      </c>
      <c r="BO47" s="14">
        <v>0</v>
      </c>
    </row>
    <row r="48" spans="1:67" x14ac:dyDescent="0.2">
      <c r="A48" s="2"/>
      <c r="B48" s="2"/>
      <c r="C48" s="44"/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1</v>
      </c>
      <c r="O48" s="5">
        <v>1</v>
      </c>
      <c r="P48" s="5">
        <v>0</v>
      </c>
      <c r="Q48" s="5">
        <v>0</v>
      </c>
      <c r="R48" s="5">
        <v>0</v>
      </c>
      <c r="S48" s="5">
        <v>0</v>
      </c>
      <c r="T48" s="5">
        <v>1</v>
      </c>
      <c r="U48" s="5">
        <v>1</v>
      </c>
      <c r="V48" s="5">
        <v>0</v>
      </c>
      <c r="W48" s="5">
        <v>0</v>
      </c>
      <c r="X48" s="5">
        <v>0</v>
      </c>
      <c r="Y48" s="5">
        <v>0</v>
      </c>
      <c r="Z48" s="5">
        <v>1</v>
      </c>
      <c r="AA48" s="5">
        <v>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21">
        <v>0</v>
      </c>
      <c r="AM48" s="21">
        <v>0</v>
      </c>
      <c r="AN48" s="21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1">
        <v>0</v>
      </c>
      <c r="AV48" s="21">
        <v>0</v>
      </c>
      <c r="AW48" s="21">
        <v>0</v>
      </c>
      <c r="AX48" s="21">
        <v>0</v>
      </c>
      <c r="AY48" s="6">
        <v>-1</v>
      </c>
      <c r="AZ48" s="21">
        <v>0</v>
      </c>
      <c r="BA48" s="21">
        <v>0</v>
      </c>
      <c r="BB48" s="21">
        <v>0</v>
      </c>
      <c r="BC48" s="21">
        <v>0</v>
      </c>
      <c r="BD48" s="21">
        <v>0</v>
      </c>
      <c r="BE48" s="21">
        <v>0</v>
      </c>
      <c r="BF48" s="21">
        <v>0</v>
      </c>
      <c r="BG48" s="21">
        <v>0</v>
      </c>
      <c r="BH48" s="21">
        <v>0</v>
      </c>
      <c r="BI48" s="21">
        <v>0</v>
      </c>
      <c r="BJ48" s="21">
        <v>0</v>
      </c>
      <c r="BK48" s="21">
        <v>0</v>
      </c>
      <c r="BL48" s="5"/>
      <c r="BM48" s="5">
        <f t="shared" si="1"/>
        <v>0</v>
      </c>
      <c r="BN48" s="9" t="s">
        <v>100</v>
      </c>
      <c r="BO48" s="14">
        <v>0</v>
      </c>
    </row>
    <row r="49" spans="1:67" x14ac:dyDescent="0.2">
      <c r="A49" s="2"/>
      <c r="B49" s="2"/>
      <c r="C49" s="44"/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1</v>
      </c>
      <c r="Q49" s="5">
        <v>1</v>
      </c>
      <c r="R49" s="5">
        <v>0</v>
      </c>
      <c r="S49" s="5">
        <v>0</v>
      </c>
      <c r="T49" s="5">
        <v>0</v>
      </c>
      <c r="U49" s="5">
        <v>0</v>
      </c>
      <c r="V49" s="5">
        <v>1</v>
      </c>
      <c r="W49" s="5">
        <v>1</v>
      </c>
      <c r="X49" s="5">
        <v>0</v>
      </c>
      <c r="Y49" s="5">
        <v>0</v>
      </c>
      <c r="Z49" s="5">
        <v>0</v>
      </c>
      <c r="AA49" s="5">
        <v>0</v>
      </c>
      <c r="AB49" s="5">
        <v>1</v>
      </c>
      <c r="AC49" s="5">
        <v>1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21">
        <v>0</v>
      </c>
      <c r="AM49" s="21">
        <v>0</v>
      </c>
      <c r="AN49" s="21">
        <v>0</v>
      </c>
      <c r="AO49" s="21">
        <v>0</v>
      </c>
      <c r="AP49" s="21">
        <v>0</v>
      </c>
      <c r="AQ49" s="21">
        <v>0</v>
      </c>
      <c r="AR49" s="21">
        <v>0</v>
      </c>
      <c r="AS49" s="21">
        <v>0</v>
      </c>
      <c r="AT49" s="21">
        <v>0</v>
      </c>
      <c r="AU49" s="21">
        <v>0</v>
      </c>
      <c r="AV49" s="21">
        <v>0</v>
      </c>
      <c r="AW49" s="6">
        <v>0</v>
      </c>
      <c r="AX49" s="21">
        <v>0</v>
      </c>
      <c r="AY49" s="21">
        <v>0</v>
      </c>
      <c r="AZ49" s="6">
        <v>-1</v>
      </c>
      <c r="BA49" s="21">
        <v>0</v>
      </c>
      <c r="BB49" s="21">
        <v>0</v>
      </c>
      <c r="BC49" s="21">
        <v>0</v>
      </c>
      <c r="BD49" s="21">
        <v>0</v>
      </c>
      <c r="BE49" s="21">
        <v>0</v>
      </c>
      <c r="BF49" s="21">
        <v>0</v>
      </c>
      <c r="BG49" s="21">
        <v>0</v>
      </c>
      <c r="BH49" s="21">
        <v>0</v>
      </c>
      <c r="BI49" s="21">
        <v>0</v>
      </c>
      <c r="BJ49" s="21">
        <v>0</v>
      </c>
      <c r="BK49" s="21">
        <v>0</v>
      </c>
      <c r="BL49" s="5"/>
      <c r="BM49" s="5">
        <f t="shared" si="1"/>
        <v>0</v>
      </c>
      <c r="BN49" s="9" t="s">
        <v>100</v>
      </c>
      <c r="BO49" s="14">
        <v>0</v>
      </c>
    </row>
    <row r="50" spans="1:67" x14ac:dyDescent="0.2">
      <c r="A50" s="2"/>
      <c r="B50" s="2"/>
      <c r="C50" s="44"/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1</v>
      </c>
      <c r="Q50" s="5">
        <v>1</v>
      </c>
      <c r="R50" s="5">
        <v>1</v>
      </c>
      <c r="S50" s="5">
        <v>0</v>
      </c>
      <c r="T50" s="5">
        <v>0</v>
      </c>
      <c r="U50" s="5">
        <v>0</v>
      </c>
      <c r="V50" s="5">
        <v>1</v>
      </c>
      <c r="W50" s="5">
        <v>1</v>
      </c>
      <c r="X50" s="5">
        <v>1</v>
      </c>
      <c r="Y50" s="5">
        <v>0</v>
      </c>
      <c r="Z50" s="5">
        <v>0</v>
      </c>
      <c r="AA50" s="5">
        <v>0</v>
      </c>
      <c r="AB50" s="5">
        <v>1</v>
      </c>
      <c r="AC50" s="5">
        <v>1</v>
      </c>
      <c r="AD50" s="5">
        <v>1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21">
        <v>0</v>
      </c>
      <c r="AM50" s="21">
        <v>0</v>
      </c>
      <c r="AN50" s="21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1">
        <v>0</v>
      </c>
      <c r="AV50" s="21">
        <v>0</v>
      </c>
      <c r="AW50" s="6">
        <v>0</v>
      </c>
      <c r="AX50" s="21">
        <v>0</v>
      </c>
      <c r="AY50" s="21">
        <v>0</v>
      </c>
      <c r="AZ50" s="21">
        <v>0</v>
      </c>
      <c r="BA50" s="6">
        <v>-1</v>
      </c>
      <c r="BB50" s="21">
        <v>0</v>
      </c>
      <c r="BC50" s="21">
        <v>0</v>
      </c>
      <c r="BD50" s="21">
        <v>0</v>
      </c>
      <c r="BE50" s="21">
        <v>0</v>
      </c>
      <c r="BF50" s="21">
        <v>0</v>
      </c>
      <c r="BG50" s="21">
        <v>0</v>
      </c>
      <c r="BH50" s="21">
        <v>0</v>
      </c>
      <c r="BI50" s="21">
        <v>0</v>
      </c>
      <c r="BJ50" s="21">
        <v>0</v>
      </c>
      <c r="BK50" s="21">
        <v>0</v>
      </c>
      <c r="BL50" s="5"/>
      <c r="BM50" s="5">
        <f t="shared" si="1"/>
        <v>0</v>
      </c>
      <c r="BN50" s="9" t="s">
        <v>100</v>
      </c>
      <c r="BO50" s="14">
        <v>0</v>
      </c>
    </row>
    <row r="51" spans="1:67" x14ac:dyDescent="0.2">
      <c r="A51" s="2"/>
      <c r="B51" s="2"/>
      <c r="C51" s="44"/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1</v>
      </c>
      <c r="R51" s="5">
        <v>1</v>
      </c>
      <c r="S51" s="5">
        <v>1</v>
      </c>
      <c r="T51" s="5">
        <v>0</v>
      </c>
      <c r="U51" s="5">
        <v>0</v>
      </c>
      <c r="V51" s="5">
        <v>0</v>
      </c>
      <c r="W51" s="5">
        <v>1</v>
      </c>
      <c r="X51" s="5">
        <v>1</v>
      </c>
      <c r="Y51" s="5">
        <v>1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5">
        <v>1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6">
        <v>-1</v>
      </c>
      <c r="BC51" s="21">
        <v>0</v>
      </c>
      <c r="BD51" s="21">
        <v>0</v>
      </c>
      <c r="BE51" s="21">
        <v>0</v>
      </c>
      <c r="BF51" s="21">
        <v>0</v>
      </c>
      <c r="BG51" s="21">
        <v>0</v>
      </c>
      <c r="BH51" s="21">
        <v>0</v>
      </c>
      <c r="BI51" s="21">
        <v>0</v>
      </c>
      <c r="BJ51" s="21">
        <v>0</v>
      </c>
      <c r="BK51" s="21">
        <v>0</v>
      </c>
      <c r="BL51" s="5"/>
      <c r="BM51" s="5">
        <f t="shared" si="1"/>
        <v>0</v>
      </c>
      <c r="BN51" s="9" t="s">
        <v>100</v>
      </c>
      <c r="BO51" s="14">
        <v>0</v>
      </c>
    </row>
    <row r="52" spans="1:67" x14ac:dyDescent="0.2">
      <c r="A52" s="2"/>
      <c r="B52" s="2"/>
      <c r="C52" s="44"/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1</v>
      </c>
      <c r="S52" s="5">
        <v>1</v>
      </c>
      <c r="T52" s="5">
        <v>1</v>
      </c>
      <c r="U52" s="5">
        <v>0</v>
      </c>
      <c r="V52" s="5">
        <v>0</v>
      </c>
      <c r="W52" s="5">
        <v>0</v>
      </c>
      <c r="X52" s="5">
        <v>1</v>
      </c>
      <c r="Y52" s="5">
        <v>1</v>
      </c>
      <c r="Z52" s="5">
        <v>1</v>
      </c>
      <c r="AA52" s="5">
        <v>0</v>
      </c>
      <c r="AB52" s="5">
        <v>0</v>
      </c>
      <c r="AC52" s="5">
        <v>0</v>
      </c>
      <c r="AD52" s="5">
        <v>1</v>
      </c>
      <c r="AE52" s="5">
        <v>1</v>
      </c>
      <c r="AF52" s="5">
        <v>1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21">
        <v>0</v>
      </c>
      <c r="BC52" s="6">
        <v>-1</v>
      </c>
      <c r="BD52" s="21">
        <v>0</v>
      </c>
      <c r="BE52" s="21">
        <v>0</v>
      </c>
      <c r="BF52" s="21">
        <v>0</v>
      </c>
      <c r="BG52" s="21">
        <v>0</v>
      </c>
      <c r="BH52" s="21">
        <v>0</v>
      </c>
      <c r="BI52" s="21">
        <v>0</v>
      </c>
      <c r="BJ52" s="21">
        <v>0</v>
      </c>
      <c r="BK52" s="21">
        <v>0</v>
      </c>
      <c r="BL52" s="5"/>
      <c r="BM52" s="5">
        <f t="shared" si="1"/>
        <v>-1</v>
      </c>
      <c r="BN52" s="9" t="s">
        <v>100</v>
      </c>
      <c r="BO52" s="14">
        <v>0</v>
      </c>
    </row>
    <row r="53" spans="1:67" x14ac:dyDescent="0.2">
      <c r="A53" s="2"/>
      <c r="B53" s="2"/>
      <c r="C53" s="44"/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1</v>
      </c>
      <c r="T53" s="5">
        <v>1</v>
      </c>
      <c r="U53" s="5">
        <v>1</v>
      </c>
      <c r="V53" s="5">
        <v>0</v>
      </c>
      <c r="W53" s="5">
        <v>0</v>
      </c>
      <c r="X53" s="5">
        <v>0</v>
      </c>
      <c r="Y53" s="5">
        <v>1</v>
      </c>
      <c r="Z53" s="5">
        <v>1</v>
      </c>
      <c r="AA53" s="5">
        <v>1</v>
      </c>
      <c r="AB53" s="5">
        <v>0</v>
      </c>
      <c r="AC53" s="5">
        <v>0</v>
      </c>
      <c r="AD53" s="5">
        <v>0</v>
      </c>
      <c r="AE53" s="5">
        <v>1</v>
      </c>
      <c r="AF53" s="5">
        <v>1</v>
      </c>
      <c r="AG53" s="5">
        <v>1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6">
        <v>-1</v>
      </c>
      <c r="BE53" s="21">
        <v>0</v>
      </c>
      <c r="BF53" s="21">
        <v>0</v>
      </c>
      <c r="BG53" s="21">
        <v>0</v>
      </c>
      <c r="BH53" s="21">
        <v>0</v>
      </c>
      <c r="BI53" s="21">
        <v>0</v>
      </c>
      <c r="BJ53" s="21">
        <v>0</v>
      </c>
      <c r="BK53" s="21">
        <v>0</v>
      </c>
      <c r="BL53" s="5"/>
      <c r="BM53" s="5">
        <f t="shared" si="1"/>
        <v>-1</v>
      </c>
      <c r="BN53" s="9" t="s">
        <v>100</v>
      </c>
      <c r="BO53" s="14">
        <v>0</v>
      </c>
    </row>
    <row r="54" spans="1:67" x14ac:dyDescent="0.2">
      <c r="A54" s="2"/>
      <c r="B54" s="2"/>
      <c r="C54" s="44"/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1</v>
      </c>
      <c r="U54" s="5">
        <v>1</v>
      </c>
      <c r="V54" s="5">
        <v>0</v>
      </c>
      <c r="W54" s="5">
        <v>0</v>
      </c>
      <c r="X54" s="5">
        <v>0</v>
      </c>
      <c r="Y54" s="5">
        <v>0</v>
      </c>
      <c r="Z54" s="5">
        <v>1</v>
      </c>
      <c r="AA54" s="5">
        <v>1</v>
      </c>
      <c r="AB54" s="5">
        <v>0</v>
      </c>
      <c r="AC54" s="5">
        <v>0</v>
      </c>
      <c r="AD54" s="5">
        <v>0</v>
      </c>
      <c r="AE54" s="5">
        <v>0</v>
      </c>
      <c r="AF54" s="5">
        <v>1</v>
      </c>
      <c r="AG54" s="5">
        <v>1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6">
        <v>-1</v>
      </c>
      <c r="BF54" s="21">
        <v>0</v>
      </c>
      <c r="BG54" s="21">
        <v>0</v>
      </c>
      <c r="BH54" s="21">
        <v>0</v>
      </c>
      <c r="BI54" s="21">
        <v>0</v>
      </c>
      <c r="BJ54" s="21">
        <v>0</v>
      </c>
      <c r="BK54" s="21">
        <v>0</v>
      </c>
      <c r="BL54" s="5"/>
      <c r="BM54" s="5">
        <f t="shared" si="1"/>
        <v>-1</v>
      </c>
      <c r="BN54" s="9" t="s">
        <v>100</v>
      </c>
      <c r="BO54" s="14">
        <v>0</v>
      </c>
    </row>
    <row r="55" spans="1:67" x14ac:dyDescent="0.2">
      <c r="A55" s="2"/>
      <c r="B55" s="2"/>
      <c r="C55" s="44"/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</v>
      </c>
      <c r="W55" s="5">
        <v>1</v>
      </c>
      <c r="X55" s="5">
        <v>0</v>
      </c>
      <c r="Y55" s="5">
        <v>0</v>
      </c>
      <c r="Z55" s="5">
        <v>0</v>
      </c>
      <c r="AA55" s="5">
        <v>0</v>
      </c>
      <c r="AB55" s="5">
        <v>1</v>
      </c>
      <c r="AC55" s="5">
        <v>1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6">
        <v>-1</v>
      </c>
      <c r="BG55" s="21">
        <v>0</v>
      </c>
      <c r="BH55" s="21">
        <v>0</v>
      </c>
      <c r="BI55" s="21">
        <v>0</v>
      </c>
      <c r="BJ55" s="21">
        <v>0</v>
      </c>
      <c r="BK55" s="21">
        <v>0</v>
      </c>
      <c r="BL55" s="5"/>
      <c r="BM55" s="5">
        <f t="shared" si="1"/>
        <v>0</v>
      </c>
      <c r="BN55" s="9" t="s">
        <v>100</v>
      </c>
      <c r="BO55" s="14">
        <v>0</v>
      </c>
    </row>
    <row r="56" spans="1:67" x14ac:dyDescent="0.2">
      <c r="A56" s="2"/>
      <c r="B56" s="2"/>
      <c r="C56" s="44"/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</v>
      </c>
      <c r="W56" s="5">
        <v>1</v>
      </c>
      <c r="X56" s="5">
        <v>1</v>
      </c>
      <c r="Y56" s="5">
        <v>0</v>
      </c>
      <c r="Z56" s="5">
        <v>0</v>
      </c>
      <c r="AA56" s="5">
        <v>0</v>
      </c>
      <c r="AB56" s="5">
        <v>1</v>
      </c>
      <c r="AC56" s="5">
        <v>1</v>
      </c>
      <c r="AD56" s="5">
        <v>1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6">
        <v>-1</v>
      </c>
      <c r="BH56" s="21">
        <v>0</v>
      </c>
      <c r="BI56" s="21">
        <v>0</v>
      </c>
      <c r="BJ56" s="21">
        <v>0</v>
      </c>
      <c r="BK56" s="21">
        <v>0</v>
      </c>
      <c r="BL56" s="5"/>
      <c r="BM56" s="5">
        <f t="shared" si="1"/>
        <v>0</v>
      </c>
      <c r="BN56" s="9" t="s">
        <v>100</v>
      </c>
      <c r="BO56" s="14">
        <v>0</v>
      </c>
    </row>
    <row r="57" spans="1:67" x14ac:dyDescent="0.2">
      <c r="A57" s="2"/>
      <c r="B57" s="2"/>
      <c r="C57" s="44"/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1</v>
      </c>
      <c r="X57" s="5">
        <v>1</v>
      </c>
      <c r="Y57" s="5">
        <v>1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5">
        <v>1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21">
        <v>0</v>
      </c>
      <c r="BH57" s="6">
        <v>-1</v>
      </c>
      <c r="BI57" s="21">
        <v>0</v>
      </c>
      <c r="BJ57" s="21">
        <v>0</v>
      </c>
      <c r="BK57" s="21">
        <v>0</v>
      </c>
      <c r="BL57" s="5"/>
      <c r="BM57" s="5">
        <f t="shared" si="1"/>
        <v>0</v>
      </c>
      <c r="BN57" s="9" t="s">
        <v>100</v>
      </c>
      <c r="BO57" s="14">
        <v>0</v>
      </c>
    </row>
    <row r="58" spans="1:67" x14ac:dyDescent="0.2">
      <c r="A58" s="2"/>
      <c r="B58" s="2"/>
      <c r="C58" s="44"/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1</v>
      </c>
      <c r="Y58" s="5">
        <v>1</v>
      </c>
      <c r="Z58" s="5">
        <v>1</v>
      </c>
      <c r="AA58" s="5">
        <v>0</v>
      </c>
      <c r="AB58" s="5">
        <v>0</v>
      </c>
      <c r="AC58" s="5">
        <v>0</v>
      </c>
      <c r="AD58" s="5">
        <v>1</v>
      </c>
      <c r="AE58" s="5">
        <v>1</v>
      </c>
      <c r="AF58" s="5">
        <v>1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21">
        <v>0</v>
      </c>
      <c r="BH58" s="21">
        <v>0</v>
      </c>
      <c r="BI58" s="6">
        <v>-1</v>
      </c>
      <c r="BJ58" s="21">
        <v>0</v>
      </c>
      <c r="BK58" s="21">
        <v>0</v>
      </c>
      <c r="BL58" s="5"/>
      <c r="BM58" s="5">
        <f t="shared" si="1"/>
        <v>-1</v>
      </c>
      <c r="BN58" s="9" t="s">
        <v>100</v>
      </c>
      <c r="BO58" s="14">
        <v>0</v>
      </c>
    </row>
    <row r="59" spans="1:67" x14ac:dyDescent="0.2">
      <c r="A59" s="2"/>
      <c r="B59" s="2"/>
      <c r="C59" s="44"/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1</v>
      </c>
      <c r="Z59" s="5">
        <v>1</v>
      </c>
      <c r="AA59" s="5">
        <v>1</v>
      </c>
      <c r="AB59" s="5">
        <v>0</v>
      </c>
      <c r="AC59" s="5">
        <v>0</v>
      </c>
      <c r="AD59" s="5">
        <v>0</v>
      </c>
      <c r="AE59" s="5">
        <v>1</v>
      </c>
      <c r="AF59" s="5">
        <v>1</v>
      </c>
      <c r="AG59" s="5">
        <v>1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6">
        <v>-1</v>
      </c>
      <c r="BK59" s="21">
        <v>0</v>
      </c>
      <c r="BL59" s="5"/>
      <c r="BM59" s="5">
        <f t="shared" si="1"/>
        <v>-1</v>
      </c>
      <c r="BN59" s="9" t="s">
        <v>100</v>
      </c>
      <c r="BO59" s="14">
        <v>0</v>
      </c>
    </row>
    <row r="60" spans="1:67" x14ac:dyDescent="0.2">
      <c r="A60" s="2"/>
      <c r="B60" s="2"/>
      <c r="C60" s="44"/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1</v>
      </c>
      <c r="AA60" s="5">
        <v>1</v>
      </c>
      <c r="AB60" s="5">
        <v>0</v>
      </c>
      <c r="AC60" s="5">
        <v>0</v>
      </c>
      <c r="AD60" s="5">
        <v>0</v>
      </c>
      <c r="AE60" s="5">
        <v>0</v>
      </c>
      <c r="AF60" s="5">
        <v>1</v>
      </c>
      <c r="AG60" s="5">
        <v>1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6">
        <v>-1</v>
      </c>
      <c r="BL60" s="5"/>
      <c r="BM60" s="5">
        <f>SUM(SUMPRODUCT($AH$4:$BK$4,D60:AG60), AH60:BK60)</f>
        <v>-1</v>
      </c>
      <c r="BN60" s="9" t="s">
        <v>100</v>
      </c>
      <c r="BO60" s="14">
        <v>0</v>
      </c>
    </row>
    <row r="61" spans="1:67" x14ac:dyDescent="0.2">
      <c r="A61" s="2"/>
      <c r="B61" s="2"/>
      <c r="C61" s="27"/>
      <c r="D61" s="4">
        <v>1</v>
      </c>
      <c r="E61" s="4">
        <v>1</v>
      </c>
      <c r="F61" s="4">
        <v>1</v>
      </c>
      <c r="G61" s="4">
        <v>1</v>
      </c>
      <c r="H61" s="4">
        <v>1</v>
      </c>
      <c r="I61" s="4">
        <v>1</v>
      </c>
      <c r="J61" s="4">
        <v>1</v>
      </c>
      <c r="K61" s="4">
        <v>1</v>
      </c>
      <c r="L61" s="4">
        <v>1</v>
      </c>
      <c r="M61" s="4">
        <v>1</v>
      </c>
      <c r="N61" s="4">
        <v>1</v>
      </c>
      <c r="O61" s="4">
        <v>1</v>
      </c>
      <c r="P61" s="4">
        <v>1</v>
      </c>
      <c r="Q61" s="4">
        <v>1</v>
      </c>
      <c r="R61" s="4">
        <v>1</v>
      </c>
      <c r="S61" s="4">
        <v>1</v>
      </c>
      <c r="T61" s="4">
        <v>1</v>
      </c>
      <c r="U61" s="4">
        <v>1</v>
      </c>
      <c r="V61" s="4">
        <v>1</v>
      </c>
      <c r="W61" s="4">
        <v>1</v>
      </c>
      <c r="X61" s="4">
        <v>1</v>
      </c>
      <c r="Y61" s="4">
        <v>1</v>
      </c>
      <c r="Z61" s="4">
        <v>1</v>
      </c>
      <c r="AA61" s="4">
        <v>1</v>
      </c>
      <c r="AB61" s="4">
        <v>1</v>
      </c>
      <c r="AC61" s="4">
        <v>1</v>
      </c>
      <c r="AD61" s="4">
        <v>1</v>
      </c>
      <c r="AE61" s="4">
        <v>1</v>
      </c>
      <c r="AF61" s="4">
        <v>1</v>
      </c>
      <c r="AG61" s="4">
        <v>1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0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  <c r="BG61" s="4">
        <v>0</v>
      </c>
      <c r="BH61" s="4">
        <v>0</v>
      </c>
      <c r="BI61" s="4">
        <v>0</v>
      </c>
      <c r="BJ61" s="4">
        <v>0</v>
      </c>
      <c r="BK61" s="7">
        <v>0</v>
      </c>
      <c r="BL61" s="5"/>
      <c r="BM61" s="5">
        <f>SUM(SUMPRODUCT($AH$4:$BK$4,D61:AG61), AH61:BK61)</f>
        <v>4</v>
      </c>
      <c r="BN61" s="11" t="s">
        <v>95</v>
      </c>
      <c r="BO61" s="16">
        <v>5</v>
      </c>
    </row>
    <row r="62" spans="1:67" ht="16" customHeight="1" x14ac:dyDescent="0.2">
      <c r="A62" s="2"/>
      <c r="B62" s="2"/>
      <c r="C62" s="45" t="s">
        <v>89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>
        <v>0</v>
      </c>
      <c r="AI62" s="5">
        <v>1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/>
      <c r="BM62" s="5">
        <f>SUMPRODUCT($AH$4:$BK$4,AH62:BK62)</f>
        <v>1</v>
      </c>
      <c r="BN62" s="9" t="s">
        <v>95</v>
      </c>
      <c r="BO62" s="14">
        <v>1</v>
      </c>
    </row>
    <row r="63" spans="1:67" x14ac:dyDescent="0.2">
      <c r="A63" s="2"/>
      <c r="B63" s="2"/>
      <c r="C63" s="4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>
        <v>0</v>
      </c>
      <c r="AI63" s="5">
        <v>0</v>
      </c>
      <c r="AJ63" s="5">
        <v>0</v>
      </c>
      <c r="AK63" s="5">
        <v>0</v>
      </c>
      <c r="AL63" s="5">
        <v>1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/>
      <c r="BM63" s="5">
        <f>SUMPRODUCT($AH$4:$BK$4,AH63:BK63)</f>
        <v>1</v>
      </c>
      <c r="BN63" s="9" t="s">
        <v>95</v>
      </c>
      <c r="BO63" s="14">
        <v>1</v>
      </c>
    </row>
    <row r="64" spans="1:67" x14ac:dyDescent="0.2">
      <c r="A64" s="2"/>
      <c r="B64" s="2"/>
      <c r="C64" s="4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1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/>
      <c r="BM64" s="5">
        <f t="shared" ref="BM64:BM65" si="2">SUMPRODUCT($AH$4:$BK$4,AH64:BK64)</f>
        <v>1</v>
      </c>
      <c r="BN64" s="9" t="s">
        <v>95</v>
      </c>
      <c r="BO64" s="14">
        <v>1</v>
      </c>
    </row>
    <row r="65" spans="1:67" ht="17" thickBot="1" x14ac:dyDescent="0.25">
      <c r="A65" s="2"/>
      <c r="B65" s="2"/>
      <c r="C65" s="46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>
        <v>0</v>
      </c>
      <c r="AI65" s="22">
        <v>0</v>
      </c>
      <c r="AJ65" s="22">
        <v>0</v>
      </c>
      <c r="AK65" s="22">
        <v>0</v>
      </c>
      <c r="AL65" s="22">
        <v>0</v>
      </c>
      <c r="AM65" s="22">
        <v>0</v>
      </c>
      <c r="AN65" s="22">
        <v>0</v>
      </c>
      <c r="AO65" s="22">
        <v>0</v>
      </c>
      <c r="AP65" s="22">
        <v>0</v>
      </c>
      <c r="AQ65" s="22">
        <v>0</v>
      </c>
      <c r="AR65" s="22">
        <v>0</v>
      </c>
      <c r="AS65" s="22">
        <v>0</v>
      </c>
      <c r="AT65" s="22">
        <v>0</v>
      </c>
      <c r="AU65" s="22">
        <v>0</v>
      </c>
      <c r="AV65" s="22">
        <v>0</v>
      </c>
      <c r="AW65" s="22">
        <v>0</v>
      </c>
      <c r="AX65" s="22">
        <v>0</v>
      </c>
      <c r="AY65" s="22">
        <v>0</v>
      </c>
      <c r="AZ65" s="22">
        <v>0</v>
      </c>
      <c r="BA65" s="22">
        <v>0</v>
      </c>
      <c r="BB65" s="22">
        <v>0</v>
      </c>
      <c r="BC65" s="22">
        <v>0</v>
      </c>
      <c r="BD65" s="22">
        <v>0</v>
      </c>
      <c r="BE65" s="22">
        <v>0</v>
      </c>
      <c r="BF65" s="22">
        <v>0</v>
      </c>
      <c r="BG65" s="22">
        <v>1</v>
      </c>
      <c r="BH65" s="22">
        <v>0</v>
      </c>
      <c r="BI65" s="22">
        <v>0</v>
      </c>
      <c r="BJ65" s="22">
        <v>0</v>
      </c>
      <c r="BK65" s="22">
        <v>0</v>
      </c>
      <c r="BL65" s="22"/>
      <c r="BM65" s="22">
        <f t="shared" si="2"/>
        <v>1</v>
      </c>
      <c r="BN65" s="12" t="s">
        <v>95</v>
      </c>
      <c r="BO65" s="17">
        <v>1</v>
      </c>
    </row>
  </sheetData>
  <scenarios current="0">
    <scenario name="solver 1" count="30" user="Muhammad Ahmed Ehtisham" comment="Created by Muhammad Ahmed Ehtisham on 12/5/2021">
      <inputCells r="AH4" val="0"/>
      <inputCells r="AI4" val="1"/>
      <inputCells r="AJ4" val="0"/>
      <inputCells r="AK4" val="0"/>
      <inputCells r="AL4" val="1"/>
      <inputCells r="AM4" val="0"/>
      <inputCells r="AN4" val="0"/>
      <inputCells r="AO4" val="1"/>
      <inputCells r="AP4" val="0"/>
      <inputCells r="AQ4" val="0"/>
      <inputCells r="AR4" val="1"/>
      <inputCells r="AS4" val="0"/>
      <inputCells r="AT4" val="0"/>
      <inputCells r="AU4" val="0"/>
      <inputCells r="AV4" val="0"/>
      <inputCells r="AW4" val="0"/>
      <inputCells r="AX4" val="0"/>
      <inputCells r="AY4" val="0"/>
      <inputCells r="AZ4" val="0"/>
      <inputCells r="BA4" val="0"/>
      <inputCells r="BB4" val="1"/>
      <inputCells r="BC4" val="0"/>
      <inputCells r="BD4" val="0"/>
      <inputCells r="BE4" val="0"/>
      <inputCells r="BF4" val="0"/>
      <inputCells r="BG4" val="1"/>
      <inputCells r="BH4" val="0"/>
      <inputCells r="BI4" val="0"/>
      <inputCells r="BJ4" val="0"/>
      <inputCells r="BK4" val="1"/>
    </scenario>
    <scenario name="hh" count="30" user="Muhammad Ahmed Ehtisham" comment="Created by Muhammad Ahmed Ehtisham on 12/5/2021">
      <inputCells r="AH4" val="0"/>
      <inputCells r="AI4" val="1"/>
      <inputCells r="AJ4" val="0"/>
      <inputCells r="AK4" val="0"/>
      <inputCells r="AL4" val="1"/>
      <inputCells r="AM4" val="-9.99999999999265E-07"/>
      <inputCells r="AN4" val="6.66666666740682E-07"/>
      <inputCells r="AO4" val="0"/>
      <inputCells r="AP4" val="3.33333333370341E-07"/>
      <inputCells r="AQ4" val="0"/>
      <inputCells r="AR4" val="1"/>
      <inputCells r="AS4" val="0"/>
      <inputCells r="AT4" val="0"/>
      <inputCells r="AU4" val="0"/>
      <inputCells r="AV4" val="0"/>
      <inputCells r="AW4" val="0"/>
      <inputCells r="AX4" val="0"/>
      <inputCells r="AY4" val="0"/>
      <inputCells r="AZ4" val="0"/>
      <inputCells r="BA4" val="0"/>
      <inputCells r="BB4" val="0"/>
      <inputCells r="BC4" val="0"/>
      <inputCells r="BD4" val="0"/>
      <inputCells r="BE4" val="0"/>
      <inputCells r="BF4" val="0"/>
      <inputCells r="BG4" val="1"/>
      <inputCells r="BH4" val="0"/>
      <inputCells r="BI4" val="0"/>
      <inputCells r="BJ4" val="1"/>
      <inputCells r="BK4" val="0"/>
    </scenario>
  </scenarios>
  <mergeCells count="2">
    <mergeCell ref="C31:C60"/>
    <mergeCell ref="C62:C6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5446C-28C5-7346-BF0E-AB255669B247}">
  <dimension ref="A1:AF26"/>
  <sheetViews>
    <sheetView workbookViewId="0">
      <selection activeCell="F20" sqref="F20"/>
    </sheetView>
  </sheetViews>
  <sheetFormatPr baseColWidth="10" defaultColWidth="11.1640625" defaultRowHeight="16" x14ac:dyDescent="0.2"/>
  <cols>
    <col min="2" max="2" width="23.6640625" bestFit="1" customWidth="1"/>
    <col min="3" max="3" width="11" bestFit="1" customWidth="1"/>
    <col min="33" max="33" width="23.6640625" bestFit="1" customWidth="1"/>
  </cols>
  <sheetData>
    <row r="1" spans="1:32" x14ac:dyDescent="0.2">
      <c r="A1" s="1" t="s">
        <v>101</v>
      </c>
      <c r="B1" s="1" t="s">
        <v>98</v>
      </c>
      <c r="C1" s="1" t="s">
        <v>102</v>
      </c>
      <c r="D1" s="1" t="s">
        <v>103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">
      <c r="A2" s="1">
        <v>0.75</v>
      </c>
      <c r="B2" s="1">
        <v>0.25</v>
      </c>
      <c r="C2" s="1">
        <v>0</v>
      </c>
      <c r="D2" s="1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1" t="s">
        <v>10</v>
      </c>
      <c r="L4" s="1" t="s">
        <v>11</v>
      </c>
      <c r="M4" s="1" t="s">
        <v>91</v>
      </c>
      <c r="N4" s="1" t="s">
        <v>12</v>
      </c>
      <c r="O4" s="1" t="s">
        <v>13</v>
      </c>
      <c r="P4" s="1" t="s">
        <v>14</v>
      </c>
      <c r="Q4" s="1" t="s">
        <v>15</v>
      </c>
      <c r="R4" s="1" t="s">
        <v>16</v>
      </c>
      <c r="S4" s="1" t="s">
        <v>17</v>
      </c>
      <c r="T4" s="1" t="s">
        <v>18</v>
      </c>
      <c r="U4" s="1" t="s">
        <v>19</v>
      </c>
      <c r="V4" s="1" t="s">
        <v>20</v>
      </c>
      <c r="W4" s="1" t="s">
        <v>21</v>
      </c>
      <c r="X4" s="1" t="s">
        <v>22</v>
      </c>
      <c r="Y4" s="1" t="s">
        <v>23</v>
      </c>
      <c r="Z4" s="1" t="s">
        <v>24</v>
      </c>
      <c r="AA4" s="1" t="s">
        <v>25</v>
      </c>
      <c r="AB4" s="1" t="s">
        <v>26</v>
      </c>
      <c r="AC4" s="1" t="s">
        <v>27</v>
      </c>
      <c r="AD4" s="1" t="s">
        <v>92</v>
      </c>
      <c r="AE4" s="1"/>
      <c r="AF4" s="1"/>
    </row>
    <row r="5" spans="1:32" x14ac:dyDescent="0.2">
      <c r="A5" s="1" t="s">
        <v>59</v>
      </c>
      <c r="B5" s="1" t="s">
        <v>60</v>
      </c>
      <c r="C5" s="1" t="s">
        <v>61</v>
      </c>
      <c r="D5" s="1" t="s">
        <v>62</v>
      </c>
      <c r="E5" s="1" t="s">
        <v>63</v>
      </c>
      <c r="F5" s="1" t="s">
        <v>64</v>
      </c>
      <c r="G5" s="1" t="s">
        <v>65</v>
      </c>
      <c r="H5" s="1" t="s">
        <v>66</v>
      </c>
      <c r="I5" s="1" t="s">
        <v>67</v>
      </c>
      <c r="J5" s="1" t="s">
        <v>68</v>
      </c>
      <c r="K5" s="1" t="s">
        <v>69</v>
      </c>
      <c r="L5" s="1" t="s">
        <v>70</v>
      </c>
      <c r="M5" s="1" t="s">
        <v>71</v>
      </c>
      <c r="N5" s="1" t="s">
        <v>72</v>
      </c>
      <c r="O5" s="1" t="s">
        <v>73</v>
      </c>
      <c r="P5" s="1" t="s">
        <v>74</v>
      </c>
      <c r="Q5" s="1" t="s">
        <v>75</v>
      </c>
      <c r="R5" s="1" t="s">
        <v>76</v>
      </c>
      <c r="S5" s="1" t="s">
        <v>77</v>
      </c>
      <c r="T5" s="1" t="s">
        <v>78</v>
      </c>
      <c r="U5" s="1" t="s">
        <v>79</v>
      </c>
      <c r="V5" s="1" t="s">
        <v>80</v>
      </c>
      <c r="W5" s="1" t="s">
        <v>81</v>
      </c>
      <c r="X5" s="1" t="s">
        <v>82</v>
      </c>
      <c r="Y5" s="1" t="s">
        <v>83</v>
      </c>
      <c r="Z5" s="1" t="s">
        <v>84</v>
      </c>
      <c r="AA5" s="1" t="s">
        <v>85</v>
      </c>
      <c r="AB5" s="1" t="s">
        <v>86</v>
      </c>
      <c r="AC5" s="1" t="s">
        <v>87</v>
      </c>
      <c r="AD5" s="1" t="s">
        <v>88</v>
      </c>
      <c r="AE5" s="1"/>
      <c r="AF5" s="1"/>
    </row>
    <row r="6" spans="1:32" x14ac:dyDescent="0.2">
      <c r="A6" s="1">
        <f>C14</f>
        <v>64.25</v>
      </c>
      <c r="B6" s="1">
        <v>0</v>
      </c>
      <c r="C6" s="1">
        <f>C17</f>
        <v>30.25</v>
      </c>
      <c r="D6" s="1">
        <f>C17</f>
        <v>30.25</v>
      </c>
      <c r="E6" s="1">
        <v>0</v>
      </c>
      <c r="F6" s="1">
        <f>C16</f>
        <v>47</v>
      </c>
      <c r="G6" s="1">
        <f>C14</f>
        <v>64.25</v>
      </c>
      <c r="H6" s="1">
        <f>C18</f>
        <v>67.75</v>
      </c>
      <c r="I6" s="1">
        <f>C19</f>
        <v>43.5</v>
      </c>
      <c r="J6" s="1">
        <f>C20</f>
        <v>33.25</v>
      </c>
      <c r="K6" s="1">
        <v>0</v>
      </c>
      <c r="L6" s="1">
        <f>C21</f>
        <v>51.5</v>
      </c>
      <c r="M6" s="1">
        <f>C14</f>
        <v>64.25</v>
      </c>
      <c r="N6" s="1">
        <f>C18</f>
        <v>67.75</v>
      </c>
      <c r="O6" s="1">
        <f>C22</f>
        <v>25.5</v>
      </c>
      <c r="P6" s="1">
        <v>0</v>
      </c>
      <c r="Q6" s="1">
        <v>0</v>
      </c>
      <c r="R6" s="1">
        <f>C21</f>
        <v>51.5</v>
      </c>
      <c r="S6" s="1">
        <v>0</v>
      </c>
      <c r="T6" s="1">
        <v>0</v>
      </c>
      <c r="U6" s="1">
        <f>C23</f>
        <v>29</v>
      </c>
      <c r="V6" s="1">
        <f>C24</f>
        <v>21.25</v>
      </c>
      <c r="W6" s="1">
        <f>C25</f>
        <v>61.5</v>
      </c>
      <c r="X6" s="1">
        <v>0</v>
      </c>
      <c r="Y6" s="1">
        <v>0</v>
      </c>
      <c r="Z6" s="1">
        <f>C24</f>
        <v>21.25</v>
      </c>
      <c r="AA6" s="1">
        <f>C24</f>
        <v>21.25</v>
      </c>
      <c r="AB6" s="1">
        <f>C26</f>
        <v>40.75</v>
      </c>
      <c r="AC6" s="1">
        <f>C25</f>
        <v>61.5</v>
      </c>
      <c r="AD6" s="1">
        <f>C25</f>
        <v>61.5</v>
      </c>
      <c r="AE6" s="1"/>
      <c r="AF6" s="1"/>
    </row>
    <row r="7" spans="1:32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x14ac:dyDescent="0.2">
      <c r="A9" s="1"/>
      <c r="B9" s="18"/>
      <c r="C9" s="18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7" thickBot="1" x14ac:dyDescent="0.25">
      <c r="A10" s="1"/>
      <c r="B10" s="18"/>
      <c r="C10" s="18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2">
      <c r="A11" s="1"/>
      <c r="B11" s="18"/>
      <c r="C11" s="18"/>
      <c r="D11" s="1"/>
      <c r="E11" s="49" t="s">
        <v>96</v>
      </c>
      <c r="F11" s="50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2">
      <c r="A12" s="1"/>
      <c r="B12" s="18"/>
      <c r="C12" s="18"/>
      <c r="D12" s="1"/>
      <c r="E12" s="26">
        <v>0.75</v>
      </c>
      <c r="F12" s="26" t="s">
        <v>97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6" customHeight="1" x14ac:dyDescent="0.2">
      <c r="A13" s="1"/>
      <c r="B13" s="47" t="s">
        <v>104</v>
      </c>
      <c r="C13" s="48"/>
      <c r="D13" s="1"/>
      <c r="E13" s="26">
        <v>0.25</v>
      </c>
      <c r="F13" s="26" t="s">
        <v>98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x14ac:dyDescent="0.2">
      <c r="A14" s="1"/>
      <c r="B14" s="3" t="s">
        <v>114</v>
      </c>
      <c r="C14" s="3">
        <v>64.25</v>
      </c>
      <c r="D14" s="1"/>
      <c r="E14" s="26">
        <v>0</v>
      </c>
      <c r="F14" s="26" t="s">
        <v>99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x14ac:dyDescent="0.2">
      <c r="B15" s="3" t="s">
        <v>105</v>
      </c>
      <c r="C15" s="3">
        <v>31.25</v>
      </c>
    </row>
    <row r="16" spans="1:32" x14ac:dyDescent="0.2">
      <c r="B16" s="3" t="s">
        <v>5</v>
      </c>
      <c r="C16" s="3">
        <v>47</v>
      </c>
    </row>
    <row r="17" spans="2:3" x14ac:dyDescent="0.2">
      <c r="B17" s="3" t="s">
        <v>108</v>
      </c>
      <c r="C17" s="3">
        <v>30.25</v>
      </c>
    </row>
    <row r="18" spans="2:3" x14ac:dyDescent="0.2">
      <c r="B18" s="3" t="s">
        <v>106</v>
      </c>
      <c r="C18" s="3">
        <v>67.75</v>
      </c>
    </row>
    <row r="19" spans="2:3" x14ac:dyDescent="0.2">
      <c r="B19" s="3" t="s">
        <v>109</v>
      </c>
      <c r="C19" s="3">
        <v>43.5</v>
      </c>
    </row>
    <row r="20" spans="2:3" x14ac:dyDescent="0.2">
      <c r="B20" s="3" t="s">
        <v>110</v>
      </c>
      <c r="C20" s="3">
        <v>33.25</v>
      </c>
    </row>
    <row r="21" spans="2:3" x14ac:dyDescent="0.2">
      <c r="B21" s="3" t="s">
        <v>107</v>
      </c>
      <c r="C21" s="3">
        <v>51.5</v>
      </c>
    </row>
    <row r="22" spans="2:3" x14ac:dyDescent="0.2">
      <c r="B22" s="3" t="s">
        <v>111</v>
      </c>
      <c r="C22" s="3">
        <v>25.5</v>
      </c>
    </row>
    <row r="23" spans="2:3" x14ac:dyDescent="0.2">
      <c r="B23" s="3" t="s">
        <v>19</v>
      </c>
      <c r="C23" s="3">
        <v>29</v>
      </c>
    </row>
    <row r="24" spans="2:3" x14ac:dyDescent="0.2">
      <c r="B24" s="3" t="s">
        <v>112</v>
      </c>
      <c r="C24" s="3">
        <v>21.25</v>
      </c>
    </row>
    <row r="25" spans="2:3" x14ac:dyDescent="0.2">
      <c r="B25" s="3" t="s">
        <v>113</v>
      </c>
      <c r="C25" s="3">
        <v>61.5</v>
      </c>
    </row>
    <row r="26" spans="2:3" x14ac:dyDescent="0.2">
      <c r="B26" s="3" t="s">
        <v>26</v>
      </c>
      <c r="C26" s="3">
        <v>40.75</v>
      </c>
    </row>
  </sheetData>
  <mergeCells count="2">
    <mergeCell ref="B13:C13"/>
    <mergeCell ref="E11:F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135F6-A800-4448-8042-1AE30C014B0D}">
  <dimension ref="A1:CE65"/>
  <sheetViews>
    <sheetView tabSelected="1" topLeftCell="AX1" zoomScale="86" zoomScaleNormal="55" workbookViewId="0">
      <selection activeCell="BK6" sqref="BK6"/>
    </sheetView>
  </sheetViews>
  <sheetFormatPr baseColWidth="10" defaultColWidth="11.1640625" defaultRowHeight="16" x14ac:dyDescent="0.2"/>
  <cols>
    <col min="1" max="1" width="24.5" bestFit="1" customWidth="1"/>
    <col min="4" max="4" width="47.33203125" bestFit="1" customWidth="1"/>
    <col min="66" max="66" width="13.6640625" bestFit="1" customWidth="1"/>
    <col min="67" max="67" width="13" bestFit="1" customWidth="1"/>
  </cols>
  <sheetData>
    <row r="1" spans="1:83" ht="17" thickBot="1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 t="s">
        <v>0</v>
      </c>
      <c r="AJ1" s="18" t="s">
        <v>1</v>
      </c>
      <c r="AK1" s="18" t="s">
        <v>2</v>
      </c>
      <c r="AL1" s="18" t="s">
        <v>3</v>
      </c>
      <c r="AM1" s="18" t="s">
        <v>4</v>
      </c>
      <c r="AN1" s="18" t="s">
        <v>5</v>
      </c>
      <c r="AO1" s="18" t="s">
        <v>6</v>
      </c>
      <c r="AP1" s="18" t="s">
        <v>7</v>
      </c>
      <c r="AQ1" s="18" t="s">
        <v>8</v>
      </c>
      <c r="AR1" s="18" t="s">
        <v>9</v>
      </c>
      <c r="AS1" s="18" t="s">
        <v>10</v>
      </c>
      <c r="AT1" s="18" t="s">
        <v>11</v>
      </c>
      <c r="AU1" s="18" t="s">
        <v>91</v>
      </c>
      <c r="AV1" s="18" t="s">
        <v>12</v>
      </c>
      <c r="AW1" s="18" t="s">
        <v>13</v>
      </c>
      <c r="AX1" s="18" t="s">
        <v>14</v>
      </c>
      <c r="AY1" s="18" t="s">
        <v>15</v>
      </c>
      <c r="AZ1" s="18" t="s">
        <v>16</v>
      </c>
      <c r="BA1" s="18" t="s">
        <v>17</v>
      </c>
      <c r="BB1" s="18" t="s">
        <v>18</v>
      </c>
      <c r="BC1" s="18" t="s">
        <v>19</v>
      </c>
      <c r="BD1" s="18" t="s">
        <v>20</v>
      </c>
      <c r="BE1" s="18" t="s">
        <v>21</v>
      </c>
      <c r="BF1" s="18" t="s">
        <v>27</v>
      </c>
      <c r="BG1" s="18" t="s">
        <v>22</v>
      </c>
      <c r="BH1" s="18" t="s">
        <v>23</v>
      </c>
      <c r="BI1" s="18" t="s">
        <v>24</v>
      </c>
      <c r="BJ1" s="18" t="s">
        <v>25</v>
      </c>
      <c r="BK1" s="18" t="s">
        <v>26</v>
      </c>
      <c r="BL1" s="18" t="s">
        <v>92</v>
      </c>
      <c r="BM1" s="18"/>
      <c r="BN1" s="18" t="s">
        <v>116</v>
      </c>
      <c r="BO1" s="18" t="s">
        <v>117</v>
      </c>
      <c r="BP1" s="18"/>
    </row>
    <row r="2" spans="1:83" ht="17" thickBot="1" x14ac:dyDescent="0.25">
      <c r="A2" s="18"/>
      <c r="B2" s="18"/>
      <c r="C2" s="18"/>
      <c r="D2" s="23"/>
      <c r="E2" s="24" t="s">
        <v>28</v>
      </c>
      <c r="F2" s="24" t="s">
        <v>29</v>
      </c>
      <c r="G2" s="24" t="s">
        <v>30</v>
      </c>
      <c r="H2" s="24" t="s">
        <v>31</v>
      </c>
      <c r="I2" s="24" t="s">
        <v>32</v>
      </c>
      <c r="J2" s="24" t="s">
        <v>33</v>
      </c>
      <c r="K2" s="24" t="s">
        <v>34</v>
      </c>
      <c r="L2" s="24" t="s">
        <v>35</v>
      </c>
      <c r="M2" s="24" t="s">
        <v>36</v>
      </c>
      <c r="N2" s="24" t="s">
        <v>37</v>
      </c>
      <c r="O2" s="24" t="s">
        <v>38</v>
      </c>
      <c r="P2" s="24" t="s">
        <v>39</v>
      </c>
      <c r="Q2" s="24" t="s">
        <v>40</v>
      </c>
      <c r="R2" s="24" t="s">
        <v>41</v>
      </c>
      <c r="S2" s="24" t="s">
        <v>42</v>
      </c>
      <c r="T2" s="24" t="s">
        <v>43</v>
      </c>
      <c r="U2" s="24" t="s">
        <v>44</v>
      </c>
      <c r="V2" s="24" t="s">
        <v>45</v>
      </c>
      <c r="W2" s="24" t="s">
        <v>46</v>
      </c>
      <c r="X2" s="24" t="s">
        <v>47</v>
      </c>
      <c r="Y2" s="24" t="s">
        <v>48</v>
      </c>
      <c r="Z2" s="24" t="s">
        <v>49</v>
      </c>
      <c r="AA2" s="24" t="s">
        <v>50</v>
      </c>
      <c r="AB2" s="24" t="s">
        <v>51</v>
      </c>
      <c r="AC2" s="24" t="s">
        <v>52</v>
      </c>
      <c r="AD2" s="24" t="s">
        <v>53</v>
      </c>
      <c r="AE2" s="24" t="s">
        <v>54</v>
      </c>
      <c r="AF2" s="24" t="s">
        <v>55</v>
      </c>
      <c r="AG2" s="24" t="s">
        <v>56</v>
      </c>
      <c r="AH2" s="24" t="s">
        <v>57</v>
      </c>
      <c r="AI2" s="24" t="s">
        <v>59</v>
      </c>
      <c r="AJ2" s="24" t="s">
        <v>60</v>
      </c>
      <c r="AK2" s="24" t="s">
        <v>61</v>
      </c>
      <c r="AL2" s="24" t="s">
        <v>62</v>
      </c>
      <c r="AM2" s="24" t="s">
        <v>63</v>
      </c>
      <c r="AN2" s="24" t="s">
        <v>64</v>
      </c>
      <c r="AO2" s="24" t="s">
        <v>65</v>
      </c>
      <c r="AP2" s="24" t="s">
        <v>66</v>
      </c>
      <c r="AQ2" s="24" t="s">
        <v>67</v>
      </c>
      <c r="AR2" s="24" t="s">
        <v>68</v>
      </c>
      <c r="AS2" s="24" t="s">
        <v>69</v>
      </c>
      <c r="AT2" s="24" t="s">
        <v>70</v>
      </c>
      <c r="AU2" s="24" t="s">
        <v>71</v>
      </c>
      <c r="AV2" s="24" t="s">
        <v>72</v>
      </c>
      <c r="AW2" s="24" t="s">
        <v>73</v>
      </c>
      <c r="AX2" s="24" t="s">
        <v>74</v>
      </c>
      <c r="AY2" s="24" t="s">
        <v>75</v>
      </c>
      <c r="AZ2" s="24" t="s">
        <v>76</v>
      </c>
      <c r="BA2" s="24" t="s">
        <v>77</v>
      </c>
      <c r="BB2" s="24" t="s">
        <v>78</v>
      </c>
      <c r="BC2" s="24" t="s">
        <v>79</v>
      </c>
      <c r="BD2" s="24" t="s">
        <v>80</v>
      </c>
      <c r="BE2" s="24" t="s">
        <v>81</v>
      </c>
      <c r="BF2" s="24" t="s">
        <v>82</v>
      </c>
      <c r="BG2" s="24" t="s">
        <v>83</v>
      </c>
      <c r="BH2" s="24" t="s">
        <v>84</v>
      </c>
      <c r="BI2" s="24" t="s">
        <v>85</v>
      </c>
      <c r="BJ2" s="24" t="s">
        <v>86</v>
      </c>
      <c r="BK2" s="24" t="s">
        <v>87</v>
      </c>
      <c r="BL2" s="24" t="s">
        <v>88</v>
      </c>
      <c r="BM2" s="24"/>
      <c r="BN2" s="24" t="s">
        <v>115</v>
      </c>
      <c r="BO2" s="24" t="s">
        <v>118</v>
      </c>
      <c r="BP2" s="25"/>
    </row>
    <row r="3" spans="1:83" ht="17" thickBot="1" x14ac:dyDescent="0.25">
      <c r="A3" s="18"/>
      <c r="B3" s="18"/>
      <c r="C3" s="18"/>
      <c r="D3" s="29" t="s">
        <v>58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19">
        <v>64.25</v>
      </c>
      <c r="AJ3" s="19">
        <v>0</v>
      </c>
      <c r="AK3" s="19">
        <v>30.25</v>
      </c>
      <c r="AL3" s="19">
        <v>30.25</v>
      </c>
      <c r="AM3" s="19">
        <v>0</v>
      </c>
      <c r="AN3" s="19">
        <v>47</v>
      </c>
      <c r="AO3" s="19">
        <v>64.25</v>
      </c>
      <c r="AP3" s="19">
        <v>67.75</v>
      </c>
      <c r="AQ3" s="19">
        <v>43.5</v>
      </c>
      <c r="AR3" s="19">
        <v>33.25</v>
      </c>
      <c r="AS3" s="19">
        <v>0</v>
      </c>
      <c r="AT3" s="19">
        <v>51.5</v>
      </c>
      <c r="AU3" s="19">
        <v>64.25</v>
      </c>
      <c r="AV3" s="19">
        <v>67.75</v>
      </c>
      <c r="AW3" s="19">
        <v>25.5</v>
      </c>
      <c r="AX3" s="19">
        <v>0</v>
      </c>
      <c r="AY3" s="19">
        <v>0</v>
      </c>
      <c r="AZ3" s="19">
        <v>51.5</v>
      </c>
      <c r="BA3" s="19">
        <v>0</v>
      </c>
      <c r="BB3" s="19">
        <v>0</v>
      </c>
      <c r="BC3" s="19">
        <v>29</v>
      </c>
      <c r="BD3" s="19">
        <v>21.25</v>
      </c>
      <c r="BE3" s="19">
        <v>61.5</v>
      </c>
      <c r="BF3" s="19">
        <v>61.5</v>
      </c>
      <c r="BG3" s="19">
        <v>0</v>
      </c>
      <c r="BH3" s="19">
        <v>0</v>
      </c>
      <c r="BI3" s="19">
        <v>21.25</v>
      </c>
      <c r="BJ3" s="19">
        <v>21.25</v>
      </c>
      <c r="BK3" s="19">
        <v>40.75</v>
      </c>
      <c r="BL3" s="19">
        <v>61.5</v>
      </c>
      <c r="BM3" s="5"/>
      <c r="BN3" s="42">
        <f>SUMPRODUCT(AI3:BL3,AI4:BL4)</f>
        <v>61.5</v>
      </c>
      <c r="BO3" s="5">
        <f>SUM((AI4:BL4))</f>
        <v>5</v>
      </c>
      <c r="BP3" s="20"/>
    </row>
    <row r="4" spans="1:83" ht="17" thickBot="1" x14ac:dyDescent="0.25">
      <c r="A4" s="18"/>
      <c r="B4" s="18"/>
      <c r="C4" s="18"/>
      <c r="D4" s="28" t="s">
        <v>93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>
        <v>0</v>
      </c>
      <c r="AJ4" s="5">
        <v>1</v>
      </c>
      <c r="AK4" s="5">
        <v>0</v>
      </c>
      <c r="AL4" s="5">
        <v>0</v>
      </c>
      <c r="AM4" s="5">
        <v>1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1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5">
        <v>1</v>
      </c>
      <c r="BF4" s="5">
        <v>0</v>
      </c>
      <c r="BG4" s="5">
        <v>0</v>
      </c>
      <c r="BH4" s="5">
        <v>1</v>
      </c>
      <c r="BI4" s="5">
        <v>0</v>
      </c>
      <c r="BJ4" s="5">
        <v>0</v>
      </c>
      <c r="BK4" s="5">
        <v>0</v>
      </c>
      <c r="BL4" s="5">
        <v>0</v>
      </c>
      <c r="BM4" s="5"/>
      <c r="BN4" s="5"/>
      <c r="BO4" s="5"/>
      <c r="BP4" s="20"/>
    </row>
    <row r="5" spans="1:83" x14ac:dyDescent="0.2">
      <c r="A5" s="18"/>
      <c r="B5" s="18"/>
      <c r="C5" s="18"/>
      <c r="D5" s="9"/>
      <c r="E5" s="5">
        <v>1</v>
      </c>
      <c r="F5" s="5">
        <v>1</v>
      </c>
      <c r="G5" s="5">
        <v>0</v>
      </c>
      <c r="H5" s="5">
        <v>0</v>
      </c>
      <c r="I5" s="5">
        <v>1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1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1</v>
      </c>
      <c r="AE5" s="5">
        <v>0</v>
      </c>
      <c r="AF5" s="5">
        <v>0</v>
      </c>
      <c r="AG5" s="5">
        <v>0</v>
      </c>
      <c r="AH5" s="5">
        <v>0</v>
      </c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>
        <f>SUM(E5:AH5)</f>
        <v>5</v>
      </c>
      <c r="BO5" s="8" t="s">
        <v>95</v>
      </c>
      <c r="BP5" s="13">
        <v>5</v>
      </c>
      <c r="BR5" s="30" t="s">
        <v>120</v>
      </c>
      <c r="BS5" s="31"/>
      <c r="BT5" s="31"/>
      <c r="BU5" s="31"/>
      <c r="BV5" s="31"/>
      <c r="BW5" s="31"/>
      <c r="BX5" s="32"/>
      <c r="BY5" s="32"/>
      <c r="BZ5" s="32"/>
      <c r="CA5" s="32"/>
      <c r="CB5" s="32"/>
      <c r="CC5" s="32"/>
      <c r="CD5" s="32"/>
      <c r="CE5" s="33"/>
    </row>
    <row r="6" spans="1:83" x14ac:dyDescent="0.2">
      <c r="A6" s="18"/>
      <c r="B6" s="18"/>
      <c r="C6" s="18"/>
      <c r="D6" s="9"/>
      <c r="E6" s="5">
        <v>0</v>
      </c>
      <c r="F6" s="5">
        <v>1</v>
      </c>
      <c r="G6" s="5">
        <v>1</v>
      </c>
      <c r="H6" s="5">
        <v>0</v>
      </c>
      <c r="I6" s="5">
        <v>1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1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1</v>
      </c>
      <c r="AE6" s="5">
        <v>0</v>
      </c>
      <c r="AF6" s="5">
        <v>0</v>
      </c>
      <c r="AG6" s="5">
        <v>0</v>
      </c>
      <c r="AH6" s="5">
        <v>0</v>
      </c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>
        <f t="shared" ref="BN6:BN30" si="0">SUM(E6:AH6)</f>
        <v>5</v>
      </c>
      <c r="BO6" s="9" t="s">
        <v>94</v>
      </c>
      <c r="BP6" s="14">
        <v>5</v>
      </c>
      <c r="BR6" s="34" t="s">
        <v>121</v>
      </c>
      <c r="BS6" s="35"/>
      <c r="BT6" s="35"/>
      <c r="BU6" s="35"/>
      <c r="BV6" s="35"/>
      <c r="BW6" s="35"/>
      <c r="BX6" s="36"/>
      <c r="BY6" s="36"/>
      <c r="BZ6" s="36"/>
      <c r="CA6" s="36"/>
      <c r="CB6" s="36"/>
      <c r="CC6" s="36"/>
      <c r="CD6" s="36"/>
      <c r="CE6" s="37"/>
    </row>
    <row r="7" spans="1:83" ht="17" thickBot="1" x14ac:dyDescent="0.25">
      <c r="A7" s="18"/>
      <c r="B7" s="18"/>
      <c r="C7" s="18"/>
      <c r="D7" s="9"/>
      <c r="E7" s="5">
        <v>0</v>
      </c>
      <c r="F7" s="5">
        <v>1</v>
      </c>
      <c r="G7" s="5">
        <v>0</v>
      </c>
      <c r="H7" s="5">
        <v>1</v>
      </c>
      <c r="I7" s="5">
        <v>1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1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1</v>
      </c>
      <c r="AE7" s="5">
        <v>0</v>
      </c>
      <c r="AF7" s="5">
        <v>0</v>
      </c>
      <c r="AG7" s="5">
        <v>0</v>
      </c>
      <c r="AH7" s="5">
        <v>0</v>
      </c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>
        <f t="shared" si="0"/>
        <v>5</v>
      </c>
      <c r="BO7" s="9" t="s">
        <v>95</v>
      </c>
      <c r="BP7" s="14">
        <v>5</v>
      </c>
      <c r="BR7" s="38" t="s">
        <v>119</v>
      </c>
      <c r="BS7" s="39"/>
      <c r="BT7" s="39"/>
      <c r="BU7" s="39"/>
      <c r="BV7" s="39"/>
      <c r="BW7" s="39"/>
      <c r="BX7" s="40"/>
      <c r="BY7" s="40"/>
      <c r="BZ7" s="40"/>
      <c r="CA7" s="40"/>
      <c r="CB7" s="40"/>
      <c r="CC7" s="40"/>
      <c r="CD7" s="40"/>
      <c r="CE7" s="41"/>
    </row>
    <row r="8" spans="1:83" x14ac:dyDescent="0.2">
      <c r="A8" s="18"/>
      <c r="B8" s="18"/>
      <c r="C8" s="18"/>
      <c r="D8" s="9"/>
      <c r="E8" s="5">
        <v>0</v>
      </c>
      <c r="F8" s="5">
        <v>1</v>
      </c>
      <c r="G8" s="5">
        <v>0</v>
      </c>
      <c r="H8" s="5">
        <v>0</v>
      </c>
      <c r="I8" s="5">
        <v>1</v>
      </c>
      <c r="J8" s="5">
        <v>1</v>
      </c>
      <c r="K8" s="5">
        <v>0</v>
      </c>
      <c r="L8" s="5">
        <v>0</v>
      </c>
      <c r="M8" s="5">
        <v>0</v>
      </c>
      <c r="N8" s="5">
        <v>0</v>
      </c>
      <c r="O8" s="5">
        <v>1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1</v>
      </c>
      <c r="AE8" s="5">
        <v>0</v>
      </c>
      <c r="AF8" s="5">
        <v>0</v>
      </c>
      <c r="AG8" s="5">
        <v>0</v>
      </c>
      <c r="AH8" s="5">
        <v>0</v>
      </c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>
        <f t="shared" si="0"/>
        <v>5</v>
      </c>
      <c r="BO8" s="9" t="s">
        <v>94</v>
      </c>
      <c r="BP8" s="14">
        <v>5</v>
      </c>
    </row>
    <row r="9" spans="1:83" x14ac:dyDescent="0.2">
      <c r="A9" s="51" t="s">
        <v>104</v>
      </c>
      <c r="B9" s="52"/>
      <c r="D9" s="9"/>
      <c r="E9" s="5">
        <v>0</v>
      </c>
      <c r="F9" s="5">
        <v>1</v>
      </c>
      <c r="G9" s="5">
        <v>0</v>
      </c>
      <c r="H9" s="5">
        <v>0</v>
      </c>
      <c r="I9" s="5">
        <v>1</v>
      </c>
      <c r="J9" s="5">
        <v>0</v>
      </c>
      <c r="K9" s="5">
        <v>1</v>
      </c>
      <c r="L9" s="5">
        <v>0</v>
      </c>
      <c r="M9" s="5">
        <v>0</v>
      </c>
      <c r="N9" s="5">
        <v>0</v>
      </c>
      <c r="O9" s="5">
        <v>1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1</v>
      </c>
      <c r="AE9" s="5">
        <v>0</v>
      </c>
      <c r="AF9" s="5">
        <v>0</v>
      </c>
      <c r="AG9" s="5">
        <v>0</v>
      </c>
      <c r="AH9" s="5">
        <v>0</v>
      </c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>
        <f t="shared" si="0"/>
        <v>5</v>
      </c>
      <c r="BO9" s="9" t="s">
        <v>95</v>
      </c>
      <c r="BP9" s="14">
        <v>5</v>
      </c>
    </row>
    <row r="10" spans="1:83" x14ac:dyDescent="0.2">
      <c r="A10" s="3" t="s">
        <v>114</v>
      </c>
      <c r="B10" s="3">
        <v>64.25</v>
      </c>
      <c r="D10" s="9"/>
      <c r="E10" s="5">
        <v>0</v>
      </c>
      <c r="F10" s="5">
        <v>1</v>
      </c>
      <c r="G10" s="5">
        <v>0</v>
      </c>
      <c r="H10" s="5">
        <v>0</v>
      </c>
      <c r="I10" s="5">
        <v>1</v>
      </c>
      <c r="J10" s="5">
        <v>0</v>
      </c>
      <c r="K10" s="5">
        <v>0</v>
      </c>
      <c r="L10" s="5">
        <v>1</v>
      </c>
      <c r="M10" s="5">
        <v>0</v>
      </c>
      <c r="N10" s="5">
        <v>0</v>
      </c>
      <c r="O10" s="5">
        <v>1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0</v>
      </c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>
        <f t="shared" si="0"/>
        <v>5</v>
      </c>
      <c r="BO10" s="9" t="s">
        <v>94</v>
      </c>
      <c r="BP10" s="14">
        <v>5</v>
      </c>
    </row>
    <row r="11" spans="1:83" x14ac:dyDescent="0.2">
      <c r="A11" s="3" t="s">
        <v>105</v>
      </c>
      <c r="B11" s="3">
        <v>31.25</v>
      </c>
      <c r="D11" s="9"/>
      <c r="E11" s="5">
        <v>0</v>
      </c>
      <c r="F11" s="5">
        <v>1</v>
      </c>
      <c r="G11" s="5">
        <v>0</v>
      </c>
      <c r="H11" s="5">
        <v>0</v>
      </c>
      <c r="I11" s="5">
        <v>1</v>
      </c>
      <c r="J11" s="5">
        <v>0</v>
      </c>
      <c r="K11" s="5">
        <v>0</v>
      </c>
      <c r="L11" s="5">
        <v>0</v>
      </c>
      <c r="M11" s="5">
        <v>1</v>
      </c>
      <c r="N11" s="5">
        <v>0</v>
      </c>
      <c r="O11" s="5">
        <v>1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1</v>
      </c>
      <c r="AE11" s="5">
        <v>0</v>
      </c>
      <c r="AF11" s="5">
        <v>0</v>
      </c>
      <c r="AG11" s="5">
        <v>0</v>
      </c>
      <c r="AH11" s="5">
        <v>0</v>
      </c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>
        <f>SUM(E11:AH11)</f>
        <v>5</v>
      </c>
      <c r="BO11" s="9" t="s">
        <v>95</v>
      </c>
      <c r="BP11" s="14">
        <v>5</v>
      </c>
    </row>
    <row r="12" spans="1:83" x14ac:dyDescent="0.2">
      <c r="A12" s="3" t="s">
        <v>5</v>
      </c>
      <c r="B12" s="3">
        <v>47</v>
      </c>
      <c r="D12" s="9"/>
      <c r="E12" s="5">
        <v>0</v>
      </c>
      <c r="F12" s="5">
        <v>1</v>
      </c>
      <c r="G12" s="5">
        <v>0</v>
      </c>
      <c r="H12" s="5">
        <v>0</v>
      </c>
      <c r="I12" s="5">
        <v>1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1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>
        <f t="shared" si="0"/>
        <v>5</v>
      </c>
      <c r="BO12" s="9" t="s">
        <v>94</v>
      </c>
      <c r="BP12" s="14">
        <v>5</v>
      </c>
    </row>
    <row r="13" spans="1:83" x14ac:dyDescent="0.2">
      <c r="A13" s="3" t="s">
        <v>108</v>
      </c>
      <c r="B13" s="3">
        <v>30.25</v>
      </c>
      <c r="D13" s="9"/>
      <c r="E13" s="5">
        <v>0</v>
      </c>
      <c r="F13" s="5">
        <v>1</v>
      </c>
      <c r="G13" s="5">
        <v>0</v>
      </c>
      <c r="H13" s="5">
        <v>0</v>
      </c>
      <c r="I13" s="5">
        <v>1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1</v>
      </c>
      <c r="AE13" s="5">
        <v>0</v>
      </c>
      <c r="AF13" s="5">
        <v>0</v>
      </c>
      <c r="AG13" s="5">
        <v>0</v>
      </c>
      <c r="AH13" s="5">
        <v>0</v>
      </c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>
        <f t="shared" si="0"/>
        <v>5</v>
      </c>
      <c r="BO13" s="9" t="s">
        <v>95</v>
      </c>
      <c r="BP13" s="14">
        <v>5</v>
      </c>
    </row>
    <row r="14" spans="1:83" x14ac:dyDescent="0.2">
      <c r="A14" s="3" t="s">
        <v>106</v>
      </c>
      <c r="B14" s="3">
        <v>67.75</v>
      </c>
      <c r="D14" s="9"/>
      <c r="E14" s="5">
        <v>0</v>
      </c>
      <c r="F14" s="5">
        <v>1</v>
      </c>
      <c r="G14" s="5">
        <v>0</v>
      </c>
      <c r="H14" s="5">
        <v>0</v>
      </c>
      <c r="I14" s="5">
        <v>1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0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1</v>
      </c>
      <c r="AE14" s="5">
        <v>0</v>
      </c>
      <c r="AF14" s="5">
        <v>0</v>
      </c>
      <c r="AG14" s="5">
        <v>0</v>
      </c>
      <c r="AH14" s="5">
        <v>0</v>
      </c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>
        <f t="shared" si="0"/>
        <v>5</v>
      </c>
      <c r="BO14" s="9" t="s">
        <v>94</v>
      </c>
      <c r="BP14" s="14">
        <v>5</v>
      </c>
    </row>
    <row r="15" spans="1:83" x14ac:dyDescent="0.2">
      <c r="A15" s="3" t="s">
        <v>109</v>
      </c>
      <c r="B15" s="3">
        <v>43.5</v>
      </c>
      <c r="D15" s="9"/>
      <c r="E15" s="5">
        <v>0</v>
      </c>
      <c r="F15" s="5">
        <v>1</v>
      </c>
      <c r="G15" s="5">
        <v>0</v>
      </c>
      <c r="H15" s="5">
        <v>0</v>
      </c>
      <c r="I15" s="5">
        <v>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</v>
      </c>
      <c r="P15" s="5">
        <v>0</v>
      </c>
      <c r="Q15" s="5">
        <v>0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1</v>
      </c>
      <c r="AE15" s="5">
        <v>0</v>
      </c>
      <c r="AF15" s="5">
        <v>0</v>
      </c>
      <c r="AG15" s="5">
        <v>0</v>
      </c>
      <c r="AH15" s="5">
        <v>0</v>
      </c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>
        <f t="shared" si="0"/>
        <v>5</v>
      </c>
      <c r="BO15" s="9" t="s">
        <v>95</v>
      </c>
      <c r="BP15" s="14">
        <v>5</v>
      </c>
    </row>
    <row r="16" spans="1:83" x14ac:dyDescent="0.2">
      <c r="A16" s="3" t="s">
        <v>110</v>
      </c>
      <c r="B16" s="3">
        <v>33.25</v>
      </c>
      <c r="D16" s="9"/>
      <c r="E16" s="5">
        <v>0</v>
      </c>
      <c r="F16" s="5">
        <v>1</v>
      </c>
      <c r="G16" s="5">
        <v>0</v>
      </c>
      <c r="H16" s="5">
        <v>0</v>
      </c>
      <c r="I16" s="5">
        <v>1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1</v>
      </c>
      <c r="P16" s="5">
        <v>0</v>
      </c>
      <c r="Q16" s="5">
        <v>0</v>
      </c>
      <c r="R16" s="5">
        <v>0</v>
      </c>
      <c r="S16" s="5">
        <v>1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1</v>
      </c>
      <c r="AE16" s="5">
        <v>0</v>
      </c>
      <c r="AF16" s="5">
        <v>0</v>
      </c>
      <c r="AG16" s="5">
        <v>0</v>
      </c>
      <c r="AH16" s="5">
        <v>0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>
        <f t="shared" si="0"/>
        <v>5</v>
      </c>
      <c r="BO16" s="9" t="s">
        <v>94</v>
      </c>
      <c r="BP16" s="14">
        <v>5</v>
      </c>
    </row>
    <row r="17" spans="1:68" x14ac:dyDescent="0.2">
      <c r="A17" s="3" t="s">
        <v>107</v>
      </c>
      <c r="B17" s="3">
        <v>51.5</v>
      </c>
      <c r="D17" s="9"/>
      <c r="E17" s="5">
        <v>0</v>
      </c>
      <c r="F17" s="5">
        <v>1</v>
      </c>
      <c r="G17" s="5">
        <v>0</v>
      </c>
      <c r="H17" s="5">
        <v>0</v>
      </c>
      <c r="I17" s="5">
        <v>1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1</v>
      </c>
      <c r="P17" s="5">
        <v>0</v>
      </c>
      <c r="Q17" s="5">
        <v>0</v>
      </c>
      <c r="R17" s="5">
        <v>0</v>
      </c>
      <c r="S17" s="5">
        <v>0</v>
      </c>
      <c r="T17" s="5">
        <v>1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1</v>
      </c>
      <c r="AE17" s="5">
        <v>0</v>
      </c>
      <c r="AF17" s="5">
        <v>0</v>
      </c>
      <c r="AG17" s="5">
        <v>0</v>
      </c>
      <c r="AH17" s="5">
        <v>0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>
        <f t="shared" si="0"/>
        <v>5</v>
      </c>
      <c r="BO17" s="9" t="s">
        <v>95</v>
      </c>
      <c r="BP17" s="14">
        <v>5</v>
      </c>
    </row>
    <row r="18" spans="1:68" x14ac:dyDescent="0.2">
      <c r="A18" s="3" t="s">
        <v>111</v>
      </c>
      <c r="B18" s="3">
        <v>25.5</v>
      </c>
      <c r="D18" s="9"/>
      <c r="E18" s="5">
        <v>0</v>
      </c>
      <c r="F18" s="5">
        <v>1</v>
      </c>
      <c r="G18" s="5">
        <v>0</v>
      </c>
      <c r="H18" s="5">
        <v>0</v>
      </c>
      <c r="I18" s="5">
        <v>1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1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1</v>
      </c>
      <c r="AE18" s="5">
        <v>0</v>
      </c>
      <c r="AF18" s="5">
        <v>0</v>
      </c>
      <c r="AG18" s="5">
        <v>0</v>
      </c>
      <c r="AH18" s="5">
        <v>0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>
        <f t="shared" si="0"/>
        <v>5</v>
      </c>
      <c r="BO18" s="9" t="s">
        <v>94</v>
      </c>
      <c r="BP18" s="14">
        <v>5</v>
      </c>
    </row>
    <row r="19" spans="1:68" x14ac:dyDescent="0.2">
      <c r="A19" s="3" t="s">
        <v>19</v>
      </c>
      <c r="B19" s="3">
        <v>29</v>
      </c>
      <c r="D19" s="9"/>
      <c r="E19" s="5">
        <v>0</v>
      </c>
      <c r="F19" s="5">
        <v>1</v>
      </c>
      <c r="G19" s="5">
        <v>0</v>
      </c>
      <c r="H19" s="5">
        <v>0</v>
      </c>
      <c r="I19" s="5">
        <v>1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1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1</v>
      </c>
      <c r="AE19" s="5">
        <v>0</v>
      </c>
      <c r="AF19" s="5">
        <v>0</v>
      </c>
      <c r="AG19" s="5">
        <v>0</v>
      </c>
      <c r="AH19" s="5">
        <v>0</v>
      </c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>
        <f t="shared" si="0"/>
        <v>5</v>
      </c>
      <c r="BO19" s="9" t="s">
        <v>95</v>
      </c>
      <c r="BP19" s="14">
        <v>5</v>
      </c>
    </row>
    <row r="20" spans="1:68" x14ac:dyDescent="0.2">
      <c r="A20" s="3" t="s">
        <v>112</v>
      </c>
      <c r="B20" s="3">
        <v>21.25</v>
      </c>
      <c r="D20" s="9"/>
      <c r="E20" s="5">
        <v>0</v>
      </c>
      <c r="F20" s="5">
        <v>1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1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1</v>
      </c>
      <c r="AE20" s="5">
        <v>0</v>
      </c>
      <c r="AF20" s="5">
        <v>0</v>
      </c>
      <c r="AG20" s="5">
        <v>0</v>
      </c>
      <c r="AH20" s="5">
        <v>0</v>
      </c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>
        <f t="shared" si="0"/>
        <v>5</v>
      </c>
      <c r="BO20" s="9" t="s">
        <v>94</v>
      </c>
      <c r="BP20" s="14">
        <v>5</v>
      </c>
    </row>
    <row r="21" spans="1:68" x14ac:dyDescent="0.2">
      <c r="A21" s="3" t="s">
        <v>113</v>
      </c>
      <c r="B21" s="3">
        <v>61.5</v>
      </c>
      <c r="D21" s="9"/>
      <c r="E21" s="5">
        <v>0</v>
      </c>
      <c r="F21" s="5">
        <v>1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1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1</v>
      </c>
      <c r="AE21" s="5">
        <v>0</v>
      </c>
      <c r="AF21" s="5">
        <v>0</v>
      </c>
      <c r="AG21" s="5">
        <v>0</v>
      </c>
      <c r="AH21" s="5">
        <v>0</v>
      </c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>
        <f t="shared" si="0"/>
        <v>5</v>
      </c>
      <c r="BO21" s="9" t="s">
        <v>95</v>
      </c>
      <c r="BP21" s="14">
        <v>5</v>
      </c>
    </row>
    <row r="22" spans="1:68" x14ac:dyDescent="0.2">
      <c r="A22" s="3" t="s">
        <v>26</v>
      </c>
      <c r="B22" s="3">
        <v>40.75</v>
      </c>
      <c r="D22" s="9"/>
      <c r="E22" s="5">
        <v>0</v>
      </c>
      <c r="F22" s="5">
        <v>1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1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1</v>
      </c>
      <c r="Z22" s="5">
        <v>0</v>
      </c>
      <c r="AA22" s="5">
        <v>0</v>
      </c>
      <c r="AB22" s="5">
        <v>0</v>
      </c>
      <c r="AC22" s="5">
        <v>0</v>
      </c>
      <c r="AD22" s="5">
        <v>1</v>
      </c>
      <c r="AE22" s="5">
        <v>0</v>
      </c>
      <c r="AF22" s="5">
        <v>0</v>
      </c>
      <c r="AG22" s="5">
        <v>0</v>
      </c>
      <c r="AH22" s="5">
        <v>0</v>
      </c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>
        <f t="shared" si="0"/>
        <v>5</v>
      </c>
      <c r="BO22" s="9" t="s">
        <v>94</v>
      </c>
      <c r="BP22" s="14">
        <v>5</v>
      </c>
    </row>
    <row r="23" spans="1:68" x14ac:dyDescent="0.2">
      <c r="A23" s="18"/>
      <c r="B23" s="18"/>
      <c r="D23" s="9"/>
      <c r="E23" s="5">
        <v>0</v>
      </c>
      <c r="F23" s="5">
        <v>1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1</v>
      </c>
      <c r="AA23" s="5">
        <v>0</v>
      </c>
      <c r="AB23" s="5">
        <v>0</v>
      </c>
      <c r="AC23" s="5">
        <v>0</v>
      </c>
      <c r="AD23" s="5">
        <v>1</v>
      </c>
      <c r="AE23" s="5">
        <v>0</v>
      </c>
      <c r="AF23" s="5">
        <v>0</v>
      </c>
      <c r="AG23" s="5">
        <v>0</v>
      </c>
      <c r="AH23" s="5">
        <v>0</v>
      </c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>
        <f t="shared" si="0"/>
        <v>5</v>
      </c>
      <c r="BO23" s="9" t="s">
        <v>95</v>
      </c>
      <c r="BP23" s="14">
        <v>5</v>
      </c>
    </row>
    <row r="24" spans="1:68" x14ac:dyDescent="0.2">
      <c r="A24" s="18"/>
      <c r="B24" s="18"/>
      <c r="D24" s="9"/>
      <c r="E24" s="5">
        <v>0</v>
      </c>
      <c r="F24" s="5">
        <v>1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1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1</v>
      </c>
      <c r="AB24" s="5">
        <v>0</v>
      </c>
      <c r="AC24" s="5">
        <v>0</v>
      </c>
      <c r="AD24" s="5">
        <v>1</v>
      </c>
      <c r="AE24" s="5">
        <v>0</v>
      </c>
      <c r="AF24" s="5">
        <v>0</v>
      </c>
      <c r="AG24" s="5">
        <v>0</v>
      </c>
      <c r="AH24" s="5">
        <v>0</v>
      </c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>
        <f t="shared" si="0"/>
        <v>5</v>
      </c>
      <c r="BO24" s="9" t="s">
        <v>94</v>
      </c>
      <c r="BP24" s="14">
        <v>5</v>
      </c>
    </row>
    <row r="25" spans="1:68" x14ac:dyDescent="0.2">
      <c r="A25" s="18"/>
      <c r="B25" s="18"/>
      <c r="C25" s="18"/>
      <c r="D25" s="9"/>
      <c r="E25" s="5">
        <v>0</v>
      </c>
      <c r="F25" s="5">
        <v>1</v>
      </c>
      <c r="G25" s="5">
        <v>0</v>
      </c>
      <c r="H25" s="5">
        <v>0</v>
      </c>
      <c r="I25" s="5">
        <v>1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1</v>
      </c>
      <c r="AC25" s="5">
        <v>0</v>
      </c>
      <c r="AD25" s="5">
        <v>1</v>
      </c>
      <c r="AE25" s="5">
        <v>0</v>
      </c>
      <c r="AF25" s="5">
        <v>0</v>
      </c>
      <c r="AG25" s="5">
        <v>0</v>
      </c>
      <c r="AH25" s="5">
        <v>0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>
        <f t="shared" si="0"/>
        <v>5</v>
      </c>
      <c r="BO25" s="9" t="s">
        <v>95</v>
      </c>
      <c r="BP25" s="14">
        <v>5</v>
      </c>
    </row>
    <row r="26" spans="1:68" x14ac:dyDescent="0.2">
      <c r="A26" s="18"/>
      <c r="B26" s="18"/>
      <c r="C26" s="18"/>
      <c r="D26" s="9"/>
      <c r="E26" s="5">
        <v>0</v>
      </c>
      <c r="F26" s="5">
        <v>1</v>
      </c>
      <c r="G26" s="5">
        <v>0</v>
      </c>
      <c r="H26" s="5">
        <v>0</v>
      </c>
      <c r="I26" s="5">
        <v>1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1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5">
        <v>0</v>
      </c>
      <c r="AF26" s="5">
        <v>0</v>
      </c>
      <c r="AG26" s="5">
        <v>0</v>
      </c>
      <c r="AH26" s="5">
        <v>0</v>
      </c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>
        <f t="shared" si="0"/>
        <v>5</v>
      </c>
      <c r="BO26" s="9" t="s">
        <v>94</v>
      </c>
      <c r="BP26" s="14">
        <v>5</v>
      </c>
    </row>
    <row r="27" spans="1:68" x14ac:dyDescent="0.2">
      <c r="A27" s="18"/>
      <c r="B27" s="18"/>
      <c r="C27" s="18"/>
      <c r="D27" s="9"/>
      <c r="E27" s="5">
        <v>0</v>
      </c>
      <c r="F27" s="5">
        <v>1</v>
      </c>
      <c r="G27" s="5">
        <v>0</v>
      </c>
      <c r="H27" s="5">
        <v>0</v>
      </c>
      <c r="I27" s="5">
        <v>1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0</v>
      </c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>
        <f t="shared" si="0"/>
        <v>5</v>
      </c>
      <c r="BO27" s="9" t="s">
        <v>95</v>
      </c>
      <c r="BP27" s="14">
        <v>5</v>
      </c>
    </row>
    <row r="28" spans="1:68" x14ac:dyDescent="0.2">
      <c r="A28" s="18"/>
      <c r="B28" s="18"/>
      <c r="C28" s="18"/>
      <c r="D28" s="9"/>
      <c r="E28" s="5">
        <v>0</v>
      </c>
      <c r="F28" s="5">
        <v>1</v>
      </c>
      <c r="G28" s="5">
        <v>0</v>
      </c>
      <c r="H28" s="5">
        <v>0</v>
      </c>
      <c r="I28" s="5">
        <v>1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1</v>
      </c>
      <c r="AE28" s="5">
        <v>0</v>
      </c>
      <c r="AF28" s="5">
        <v>1</v>
      </c>
      <c r="AG28" s="5">
        <v>0</v>
      </c>
      <c r="AH28" s="5">
        <v>0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>
        <f t="shared" si="0"/>
        <v>5</v>
      </c>
      <c r="BO28" s="9" t="s">
        <v>94</v>
      </c>
      <c r="BP28" s="14">
        <v>5</v>
      </c>
    </row>
    <row r="29" spans="1:68" x14ac:dyDescent="0.2">
      <c r="A29" s="18"/>
      <c r="B29" s="18"/>
      <c r="C29" s="18"/>
      <c r="D29" s="9"/>
      <c r="E29" s="5">
        <v>0</v>
      </c>
      <c r="F29" s="5">
        <v>1</v>
      </c>
      <c r="G29" s="5">
        <v>0</v>
      </c>
      <c r="H29" s="5">
        <v>0</v>
      </c>
      <c r="I29" s="5">
        <v>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</v>
      </c>
      <c r="AE29" s="5">
        <v>0</v>
      </c>
      <c r="AF29" s="5">
        <v>0</v>
      </c>
      <c r="AG29" s="5">
        <v>1</v>
      </c>
      <c r="AH29" s="5">
        <v>0</v>
      </c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>
        <f t="shared" si="0"/>
        <v>5</v>
      </c>
      <c r="BO29" s="9" t="s">
        <v>95</v>
      </c>
      <c r="BP29" s="14">
        <v>5</v>
      </c>
    </row>
    <row r="30" spans="1:68" ht="17" thickBot="1" x14ac:dyDescent="0.25">
      <c r="A30" s="18"/>
      <c r="B30" s="18"/>
      <c r="C30" s="18"/>
      <c r="D30" s="9"/>
      <c r="E30" s="4">
        <v>0</v>
      </c>
      <c r="F30" s="4">
        <v>1</v>
      </c>
      <c r="G30" s="4">
        <v>0</v>
      </c>
      <c r="H30" s="4">
        <v>0</v>
      </c>
      <c r="I30" s="4">
        <v>1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1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1</v>
      </c>
      <c r="AE30" s="4">
        <v>0</v>
      </c>
      <c r="AF30" s="4">
        <v>0</v>
      </c>
      <c r="AG30" s="4">
        <v>0</v>
      </c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5"/>
      <c r="BN30" s="5">
        <f t="shared" si="0"/>
        <v>5</v>
      </c>
      <c r="BO30" s="9" t="s">
        <v>94</v>
      </c>
      <c r="BP30" s="14">
        <v>5</v>
      </c>
    </row>
    <row r="31" spans="1:68" x14ac:dyDescent="0.2">
      <c r="A31" s="18"/>
      <c r="B31" s="18"/>
      <c r="C31" s="18"/>
      <c r="D31" s="43" t="s">
        <v>90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J31" s="21">
        <v>0</v>
      </c>
      <c r="K31" s="21">
        <v>1</v>
      </c>
      <c r="L31" s="21">
        <v>1</v>
      </c>
      <c r="M31" s="21">
        <v>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1">
        <v>0</v>
      </c>
      <c r="T31" s="21">
        <v>0</v>
      </c>
      <c r="U31" s="21">
        <v>0</v>
      </c>
      <c r="V31" s="21">
        <v>0</v>
      </c>
      <c r="W31" s="21">
        <v>0</v>
      </c>
      <c r="X31" s="21">
        <v>0</v>
      </c>
      <c r="Y31" s="21">
        <v>0</v>
      </c>
      <c r="Z31" s="21">
        <v>0</v>
      </c>
      <c r="AA31" s="21">
        <v>0</v>
      </c>
      <c r="AB31" s="21">
        <v>0</v>
      </c>
      <c r="AC31" s="21">
        <v>0</v>
      </c>
      <c r="AD31" s="21">
        <v>0</v>
      </c>
      <c r="AE31" s="21">
        <v>0</v>
      </c>
      <c r="AF31" s="21">
        <v>0</v>
      </c>
      <c r="AG31" s="21">
        <v>0</v>
      </c>
      <c r="AH31" s="21">
        <v>0</v>
      </c>
      <c r="AI31" s="21">
        <v>-1</v>
      </c>
      <c r="AJ31" s="21">
        <v>0</v>
      </c>
      <c r="AK31" s="21">
        <v>0</v>
      </c>
      <c r="AL31" s="21">
        <v>0</v>
      </c>
      <c r="AM31" s="21">
        <v>0</v>
      </c>
      <c r="AN31" s="21">
        <v>0</v>
      </c>
      <c r="AO31" s="21">
        <v>0</v>
      </c>
      <c r="AP31" s="21">
        <v>0</v>
      </c>
      <c r="AQ31" s="21">
        <v>0</v>
      </c>
      <c r="AR31" s="21">
        <v>0</v>
      </c>
      <c r="AS31" s="21">
        <v>0</v>
      </c>
      <c r="AT31" s="21">
        <v>0</v>
      </c>
      <c r="AU31" s="21">
        <v>0</v>
      </c>
      <c r="AV31" s="21">
        <v>0</v>
      </c>
      <c r="AW31" s="21">
        <v>0</v>
      </c>
      <c r="AX31" s="21">
        <v>0</v>
      </c>
      <c r="AY31" s="21">
        <v>0</v>
      </c>
      <c r="AZ31" s="21">
        <v>0</v>
      </c>
      <c r="BA31" s="21">
        <v>0</v>
      </c>
      <c r="BB31" s="21">
        <v>0</v>
      </c>
      <c r="BC31" s="21">
        <v>0</v>
      </c>
      <c r="BD31" s="21">
        <v>0</v>
      </c>
      <c r="BE31" s="21">
        <v>0</v>
      </c>
      <c r="BF31" s="21">
        <v>0</v>
      </c>
      <c r="BG31" s="21">
        <v>0</v>
      </c>
      <c r="BH31" s="21">
        <v>0</v>
      </c>
      <c r="BI31" s="21">
        <v>0</v>
      </c>
      <c r="BJ31" s="21">
        <v>0</v>
      </c>
      <c r="BK31" s="21">
        <v>0</v>
      </c>
      <c r="BL31" s="21">
        <v>0</v>
      </c>
      <c r="BM31" s="5"/>
      <c r="BN31" s="5">
        <f>SUM(SUMPRODUCT($AI$4:$BL$4,E31:AH31), AI31:BL31)</f>
        <v>0</v>
      </c>
      <c r="BO31" s="10" t="s">
        <v>100</v>
      </c>
      <c r="BP31" s="15">
        <v>0</v>
      </c>
    </row>
    <row r="32" spans="1:68" x14ac:dyDescent="0.2">
      <c r="A32" s="18"/>
      <c r="B32" s="18"/>
      <c r="C32" s="18"/>
      <c r="D32" s="44"/>
      <c r="E32" s="5">
        <v>1</v>
      </c>
      <c r="F32" s="5">
        <v>1</v>
      </c>
      <c r="G32" s="5">
        <v>1</v>
      </c>
      <c r="H32" s="5">
        <v>0</v>
      </c>
      <c r="I32" s="5">
        <v>0</v>
      </c>
      <c r="J32" s="5">
        <v>0</v>
      </c>
      <c r="K32" s="5">
        <v>1</v>
      </c>
      <c r="L32" s="5">
        <v>1</v>
      </c>
      <c r="M32" s="5">
        <v>1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-1</v>
      </c>
      <c r="AK32" s="21">
        <v>0</v>
      </c>
      <c r="AL32" s="21">
        <v>0</v>
      </c>
      <c r="AM32" s="21">
        <v>0</v>
      </c>
      <c r="AN32" s="21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1">
        <v>0</v>
      </c>
      <c r="AV32" s="21">
        <v>0</v>
      </c>
      <c r="AW32" s="21">
        <v>0</v>
      </c>
      <c r="AX32" s="21">
        <v>0</v>
      </c>
      <c r="AY32" s="21">
        <v>0</v>
      </c>
      <c r="AZ32" s="21">
        <v>0</v>
      </c>
      <c r="BA32" s="21">
        <v>0</v>
      </c>
      <c r="BB32" s="21">
        <v>0</v>
      </c>
      <c r="BC32" s="21">
        <v>0</v>
      </c>
      <c r="BD32" s="21">
        <v>0</v>
      </c>
      <c r="BE32" s="21">
        <v>0</v>
      </c>
      <c r="BF32" s="21">
        <v>0</v>
      </c>
      <c r="BG32" s="21">
        <v>0</v>
      </c>
      <c r="BH32" s="21">
        <v>0</v>
      </c>
      <c r="BI32" s="21">
        <v>0</v>
      </c>
      <c r="BJ32" s="21">
        <v>0</v>
      </c>
      <c r="BK32" s="21">
        <v>0</v>
      </c>
      <c r="BL32" s="21">
        <v>0</v>
      </c>
      <c r="BM32" s="5"/>
      <c r="BN32" s="5">
        <f t="shared" ref="BN32:BN59" si="1">SUM(SUMPRODUCT($AI$4:$BL$4,E32:AH32), AI32:BL32)</f>
        <v>0</v>
      </c>
      <c r="BO32" s="9" t="s">
        <v>100</v>
      </c>
      <c r="BP32" s="14">
        <v>0</v>
      </c>
    </row>
    <row r="33" spans="1:68" x14ac:dyDescent="0.2">
      <c r="A33" s="18"/>
      <c r="B33" s="18"/>
      <c r="C33" s="18"/>
      <c r="D33" s="44"/>
      <c r="E33" s="5">
        <v>0</v>
      </c>
      <c r="F33" s="5">
        <v>1</v>
      </c>
      <c r="G33" s="5">
        <v>1</v>
      </c>
      <c r="H33" s="5">
        <v>1</v>
      </c>
      <c r="I33" s="5">
        <v>0</v>
      </c>
      <c r="J33" s="5">
        <v>0</v>
      </c>
      <c r="K33" s="5">
        <v>0</v>
      </c>
      <c r="L33" s="5">
        <v>1</v>
      </c>
      <c r="M33" s="5">
        <v>1</v>
      </c>
      <c r="N33" s="5">
        <v>1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-1</v>
      </c>
      <c r="AL33" s="5">
        <v>0</v>
      </c>
      <c r="AM33" s="21">
        <v>0</v>
      </c>
      <c r="AN33" s="21">
        <v>0</v>
      </c>
      <c r="AO33" s="21">
        <v>0</v>
      </c>
      <c r="AP33" s="21">
        <v>0</v>
      </c>
      <c r="AQ33" s="21">
        <v>0</v>
      </c>
      <c r="AR33" s="21">
        <v>0</v>
      </c>
      <c r="AS33" s="21">
        <v>0</v>
      </c>
      <c r="AT33" s="21">
        <v>0</v>
      </c>
      <c r="AU33" s="21">
        <v>0</v>
      </c>
      <c r="AV33" s="21">
        <v>0</v>
      </c>
      <c r="AW33" s="21">
        <v>0</v>
      </c>
      <c r="AX33" s="21">
        <v>0</v>
      </c>
      <c r="AY33" s="21">
        <v>0</v>
      </c>
      <c r="AZ33" s="21">
        <v>0</v>
      </c>
      <c r="BA33" s="21">
        <v>0</v>
      </c>
      <c r="BB33" s="21">
        <v>0</v>
      </c>
      <c r="BC33" s="21">
        <v>0</v>
      </c>
      <c r="BD33" s="21">
        <v>0</v>
      </c>
      <c r="BE33" s="21">
        <v>0</v>
      </c>
      <c r="BF33" s="21">
        <v>0</v>
      </c>
      <c r="BG33" s="21">
        <v>0</v>
      </c>
      <c r="BH33" s="21">
        <v>0</v>
      </c>
      <c r="BI33" s="21">
        <v>0</v>
      </c>
      <c r="BJ33" s="21">
        <v>0</v>
      </c>
      <c r="BK33" s="21">
        <v>0</v>
      </c>
      <c r="BL33" s="21">
        <v>0</v>
      </c>
      <c r="BM33" s="5"/>
      <c r="BN33" s="5">
        <f t="shared" si="1"/>
        <v>0</v>
      </c>
      <c r="BO33" s="9" t="s">
        <v>100</v>
      </c>
      <c r="BP33" s="14">
        <v>0</v>
      </c>
    </row>
    <row r="34" spans="1:68" x14ac:dyDescent="0.2">
      <c r="A34" s="18"/>
      <c r="B34" s="18"/>
      <c r="C34" s="18"/>
      <c r="D34" s="44"/>
      <c r="E34" s="5">
        <v>0</v>
      </c>
      <c r="F34" s="5">
        <v>0</v>
      </c>
      <c r="G34" s="5">
        <v>1</v>
      </c>
      <c r="H34" s="5">
        <v>1</v>
      </c>
      <c r="I34" s="5">
        <v>1</v>
      </c>
      <c r="J34" s="5">
        <v>0</v>
      </c>
      <c r="K34" s="5">
        <v>0</v>
      </c>
      <c r="L34" s="5">
        <v>0</v>
      </c>
      <c r="M34" s="5">
        <v>1</v>
      </c>
      <c r="N34" s="5">
        <v>1</v>
      </c>
      <c r="O34" s="5">
        <v>1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6">
        <v>-1</v>
      </c>
      <c r="AM34" s="21">
        <v>0</v>
      </c>
      <c r="AN34" s="21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1">
        <v>0</v>
      </c>
      <c r="AV34" s="21">
        <v>0</v>
      </c>
      <c r="AW34" s="21">
        <v>0</v>
      </c>
      <c r="AX34" s="21">
        <v>0</v>
      </c>
      <c r="AY34" s="21">
        <v>0</v>
      </c>
      <c r="AZ34" s="21">
        <v>0</v>
      </c>
      <c r="BA34" s="21">
        <v>0</v>
      </c>
      <c r="BB34" s="21">
        <v>0</v>
      </c>
      <c r="BC34" s="21">
        <v>0</v>
      </c>
      <c r="BD34" s="21">
        <v>0</v>
      </c>
      <c r="BE34" s="21">
        <v>0</v>
      </c>
      <c r="BF34" s="21">
        <v>0</v>
      </c>
      <c r="BG34" s="21">
        <v>0</v>
      </c>
      <c r="BH34" s="21">
        <v>0</v>
      </c>
      <c r="BI34" s="21">
        <v>0</v>
      </c>
      <c r="BJ34" s="21">
        <v>0</v>
      </c>
      <c r="BK34" s="21">
        <v>0</v>
      </c>
      <c r="BL34" s="21">
        <v>0</v>
      </c>
      <c r="BM34" s="5"/>
      <c r="BN34" s="5">
        <f t="shared" si="1"/>
        <v>1</v>
      </c>
      <c r="BO34" s="9" t="s">
        <v>100</v>
      </c>
      <c r="BP34" s="14">
        <v>0</v>
      </c>
    </row>
    <row r="35" spans="1:68" x14ac:dyDescent="0.2">
      <c r="A35" s="18"/>
      <c r="B35" s="18"/>
      <c r="C35" s="18"/>
      <c r="D35" s="44"/>
      <c r="E35" s="5">
        <v>0</v>
      </c>
      <c r="F35" s="5">
        <v>0</v>
      </c>
      <c r="G35" s="5">
        <v>0</v>
      </c>
      <c r="H35" s="5">
        <v>1</v>
      </c>
      <c r="I35" s="5">
        <v>1</v>
      </c>
      <c r="J35" s="5">
        <v>1</v>
      </c>
      <c r="K35" s="5">
        <v>0</v>
      </c>
      <c r="L35" s="5">
        <v>0</v>
      </c>
      <c r="M35" s="5">
        <v>0</v>
      </c>
      <c r="N35" s="5">
        <v>1</v>
      </c>
      <c r="O35" s="5">
        <v>1</v>
      </c>
      <c r="P35" s="5">
        <v>1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6">
        <v>-1</v>
      </c>
      <c r="AN35" s="21">
        <v>0</v>
      </c>
      <c r="AO35" s="21">
        <v>0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  <c r="BC35" s="21">
        <v>0</v>
      </c>
      <c r="BD35" s="21">
        <v>0</v>
      </c>
      <c r="BE35" s="21">
        <v>0</v>
      </c>
      <c r="BF35" s="21">
        <v>0</v>
      </c>
      <c r="BG35" s="21">
        <v>0</v>
      </c>
      <c r="BH35" s="21">
        <v>0</v>
      </c>
      <c r="BI35" s="21">
        <v>0</v>
      </c>
      <c r="BJ35" s="21">
        <v>0</v>
      </c>
      <c r="BK35" s="21">
        <v>0</v>
      </c>
      <c r="BL35" s="21">
        <v>0</v>
      </c>
      <c r="BM35" s="5"/>
      <c r="BN35" s="5">
        <f t="shared" si="1"/>
        <v>1</v>
      </c>
      <c r="BO35" s="9" t="s">
        <v>100</v>
      </c>
      <c r="BP35" s="14">
        <v>0</v>
      </c>
    </row>
    <row r="36" spans="1:68" x14ac:dyDescent="0.2">
      <c r="A36" s="18"/>
      <c r="B36" s="18"/>
      <c r="C36" s="18"/>
      <c r="D36" s="44"/>
      <c r="E36" s="5">
        <v>0</v>
      </c>
      <c r="F36" s="5">
        <v>0</v>
      </c>
      <c r="G36" s="5">
        <v>0</v>
      </c>
      <c r="H36" s="5">
        <v>0</v>
      </c>
      <c r="I36" s="5">
        <v>1</v>
      </c>
      <c r="J36" s="5">
        <v>1</v>
      </c>
      <c r="K36" s="5">
        <v>0</v>
      </c>
      <c r="L36" s="5">
        <v>0</v>
      </c>
      <c r="M36" s="5">
        <v>0</v>
      </c>
      <c r="N36" s="5">
        <v>0</v>
      </c>
      <c r="O36" s="5">
        <v>1</v>
      </c>
      <c r="P36" s="5">
        <v>1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21">
        <v>0</v>
      </c>
      <c r="AN36" s="6">
        <v>-1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1">
        <v>0</v>
      </c>
      <c r="AV36" s="21">
        <v>0</v>
      </c>
      <c r="AW36" s="21">
        <v>0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  <c r="BC36" s="21">
        <v>0</v>
      </c>
      <c r="BD36" s="21">
        <v>0</v>
      </c>
      <c r="BE36" s="21">
        <v>0</v>
      </c>
      <c r="BF36" s="21">
        <v>0</v>
      </c>
      <c r="BG36" s="21">
        <v>0</v>
      </c>
      <c r="BH36" s="21">
        <v>0</v>
      </c>
      <c r="BI36" s="21">
        <v>0</v>
      </c>
      <c r="BJ36" s="21">
        <v>0</v>
      </c>
      <c r="BK36" s="21">
        <v>0</v>
      </c>
      <c r="BL36" s="21">
        <v>0</v>
      </c>
      <c r="BM36" s="5"/>
      <c r="BN36" s="5">
        <f t="shared" si="1"/>
        <v>1</v>
      </c>
      <c r="BO36" s="9" t="s">
        <v>100</v>
      </c>
      <c r="BP36" s="14">
        <v>0</v>
      </c>
    </row>
    <row r="37" spans="1:68" x14ac:dyDescent="0.2">
      <c r="A37" s="18"/>
      <c r="B37" s="18"/>
      <c r="C37" s="18"/>
      <c r="D37" s="44"/>
      <c r="E37" s="5">
        <v>1</v>
      </c>
      <c r="F37" s="5">
        <v>1</v>
      </c>
      <c r="G37" s="5">
        <v>0</v>
      </c>
      <c r="H37" s="5">
        <v>0</v>
      </c>
      <c r="I37" s="5">
        <v>0</v>
      </c>
      <c r="J37" s="5">
        <v>0</v>
      </c>
      <c r="K37" s="5">
        <v>1</v>
      </c>
      <c r="L37" s="5">
        <v>1</v>
      </c>
      <c r="M37" s="5">
        <v>0</v>
      </c>
      <c r="N37" s="5">
        <v>0</v>
      </c>
      <c r="O37" s="5">
        <v>0</v>
      </c>
      <c r="P37" s="5">
        <v>0</v>
      </c>
      <c r="Q37" s="5">
        <v>1</v>
      </c>
      <c r="R37" s="5">
        <v>1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21">
        <v>0</v>
      </c>
      <c r="AN37" s="21">
        <v>0</v>
      </c>
      <c r="AO37" s="6">
        <v>-1</v>
      </c>
      <c r="AP37" s="21">
        <v>0</v>
      </c>
      <c r="AQ37" s="21">
        <v>0</v>
      </c>
      <c r="AR37" s="21">
        <v>0</v>
      </c>
      <c r="AS37" s="21">
        <v>0</v>
      </c>
      <c r="AT37" s="21">
        <v>0</v>
      </c>
      <c r="AU37" s="21">
        <v>0</v>
      </c>
      <c r="AV37" s="21">
        <v>0</v>
      </c>
      <c r="AW37" s="21">
        <v>0</v>
      </c>
      <c r="AX37" s="21">
        <v>0</v>
      </c>
      <c r="AY37" s="21">
        <v>0</v>
      </c>
      <c r="AZ37" s="21">
        <v>0</v>
      </c>
      <c r="BA37" s="21">
        <v>0</v>
      </c>
      <c r="BB37" s="21">
        <v>0</v>
      </c>
      <c r="BC37" s="21">
        <v>0</v>
      </c>
      <c r="BD37" s="21">
        <v>0</v>
      </c>
      <c r="BE37" s="21">
        <v>0</v>
      </c>
      <c r="BF37" s="21">
        <v>0</v>
      </c>
      <c r="BG37" s="21">
        <v>0</v>
      </c>
      <c r="BH37" s="21">
        <v>0</v>
      </c>
      <c r="BI37" s="21">
        <v>0</v>
      </c>
      <c r="BJ37" s="21">
        <v>0</v>
      </c>
      <c r="BK37" s="21">
        <v>0</v>
      </c>
      <c r="BL37" s="21">
        <v>0</v>
      </c>
      <c r="BM37" s="5"/>
      <c r="BN37" s="5">
        <f t="shared" si="1"/>
        <v>0</v>
      </c>
      <c r="BO37" s="9" t="s">
        <v>100</v>
      </c>
      <c r="BP37" s="14">
        <v>0</v>
      </c>
    </row>
    <row r="38" spans="1:68" x14ac:dyDescent="0.2">
      <c r="A38" s="18"/>
      <c r="B38" s="18"/>
      <c r="C38" s="18"/>
      <c r="D38" s="44"/>
      <c r="E38" s="5">
        <v>1</v>
      </c>
      <c r="F38" s="5">
        <v>1</v>
      </c>
      <c r="G38" s="5">
        <v>1</v>
      </c>
      <c r="H38" s="5">
        <v>0</v>
      </c>
      <c r="I38" s="5">
        <v>0</v>
      </c>
      <c r="J38" s="5">
        <v>0</v>
      </c>
      <c r="K38" s="5">
        <v>1</v>
      </c>
      <c r="L38" s="5">
        <v>1</v>
      </c>
      <c r="M38" s="5">
        <v>1</v>
      </c>
      <c r="N38" s="5">
        <v>0</v>
      </c>
      <c r="O38" s="5">
        <v>0</v>
      </c>
      <c r="P38" s="5">
        <v>0</v>
      </c>
      <c r="Q38" s="5">
        <v>1</v>
      </c>
      <c r="R38" s="5">
        <v>1</v>
      </c>
      <c r="S38" s="5">
        <v>1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21">
        <v>0</v>
      </c>
      <c r="AN38" s="21">
        <v>0</v>
      </c>
      <c r="AO38" s="21">
        <v>0</v>
      </c>
      <c r="AP38" s="6">
        <v>-1</v>
      </c>
      <c r="AQ38" s="21">
        <v>0</v>
      </c>
      <c r="AR38" s="21">
        <v>0</v>
      </c>
      <c r="AS38" s="21">
        <v>0</v>
      </c>
      <c r="AT38" s="21">
        <v>0</v>
      </c>
      <c r="AU38" s="21">
        <v>0</v>
      </c>
      <c r="AV38" s="21">
        <v>0</v>
      </c>
      <c r="AW38" s="21">
        <v>0</v>
      </c>
      <c r="AX38" s="21">
        <v>0</v>
      </c>
      <c r="AY38" s="21">
        <v>0</v>
      </c>
      <c r="AZ38" s="21">
        <v>0</v>
      </c>
      <c r="BA38" s="21">
        <v>0</v>
      </c>
      <c r="BB38" s="21">
        <v>0</v>
      </c>
      <c r="BC38" s="21">
        <v>0</v>
      </c>
      <c r="BD38" s="21">
        <v>0</v>
      </c>
      <c r="BE38" s="21">
        <v>0</v>
      </c>
      <c r="BF38" s="21">
        <v>0</v>
      </c>
      <c r="BG38" s="21">
        <v>0</v>
      </c>
      <c r="BH38" s="21">
        <v>0</v>
      </c>
      <c r="BI38" s="21">
        <v>0</v>
      </c>
      <c r="BJ38" s="21">
        <v>0</v>
      </c>
      <c r="BK38" s="21">
        <v>0</v>
      </c>
      <c r="BL38" s="21">
        <v>0</v>
      </c>
      <c r="BM38" s="5"/>
      <c r="BN38" s="5">
        <f t="shared" si="1"/>
        <v>0</v>
      </c>
      <c r="BO38" s="9" t="s">
        <v>100</v>
      </c>
      <c r="BP38" s="14">
        <v>0</v>
      </c>
    </row>
    <row r="39" spans="1:68" x14ac:dyDescent="0.2">
      <c r="A39" s="18"/>
      <c r="B39" s="18"/>
      <c r="C39" s="18"/>
      <c r="D39" s="44"/>
      <c r="E39" s="5">
        <v>0</v>
      </c>
      <c r="F39" s="5">
        <v>1</v>
      </c>
      <c r="G39" s="5">
        <v>1</v>
      </c>
      <c r="H39" s="5">
        <v>1</v>
      </c>
      <c r="I39" s="5">
        <v>0</v>
      </c>
      <c r="J39" s="5">
        <v>0</v>
      </c>
      <c r="K39" s="5">
        <v>0</v>
      </c>
      <c r="L39" s="5">
        <v>1</v>
      </c>
      <c r="M39" s="5">
        <v>1</v>
      </c>
      <c r="N39" s="5">
        <v>1</v>
      </c>
      <c r="O39" s="5">
        <v>0</v>
      </c>
      <c r="P39" s="5">
        <v>0</v>
      </c>
      <c r="Q39" s="5">
        <v>0</v>
      </c>
      <c r="R39" s="5">
        <v>1</v>
      </c>
      <c r="S39" s="5">
        <v>1</v>
      </c>
      <c r="T39" s="5">
        <v>1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21">
        <v>0</v>
      </c>
      <c r="AN39" s="21">
        <v>0</v>
      </c>
      <c r="AO39" s="21">
        <v>0</v>
      </c>
      <c r="AP39" s="21">
        <v>0</v>
      </c>
      <c r="AQ39" s="6">
        <v>-1</v>
      </c>
      <c r="AR39" s="21">
        <v>0</v>
      </c>
      <c r="AS39" s="21">
        <v>0</v>
      </c>
      <c r="AT39" s="21">
        <v>0</v>
      </c>
      <c r="AU39" s="21">
        <v>0</v>
      </c>
      <c r="AV39" s="6">
        <v>0</v>
      </c>
      <c r="AW39" s="21">
        <v>0</v>
      </c>
      <c r="AX39" s="21">
        <v>0</v>
      </c>
      <c r="AY39" s="21">
        <v>0</v>
      </c>
      <c r="AZ39" s="21">
        <v>0</v>
      </c>
      <c r="BA39" s="21">
        <v>0</v>
      </c>
      <c r="BB39" s="21">
        <v>0</v>
      </c>
      <c r="BC39" s="21">
        <v>0</v>
      </c>
      <c r="BD39" s="21">
        <v>0</v>
      </c>
      <c r="BE39" s="21">
        <v>0</v>
      </c>
      <c r="BF39" s="21">
        <v>0</v>
      </c>
      <c r="BG39" s="21">
        <v>0</v>
      </c>
      <c r="BH39" s="21">
        <v>0</v>
      </c>
      <c r="BI39" s="21">
        <v>0</v>
      </c>
      <c r="BJ39" s="21">
        <v>0</v>
      </c>
      <c r="BK39" s="21">
        <v>0</v>
      </c>
      <c r="BL39" s="21">
        <v>0</v>
      </c>
      <c r="BM39" s="5"/>
      <c r="BN39" s="5">
        <f t="shared" si="1"/>
        <v>0</v>
      </c>
      <c r="BO39" s="9" t="s">
        <v>100</v>
      </c>
      <c r="BP39" s="14">
        <v>0</v>
      </c>
    </row>
    <row r="40" spans="1:68" x14ac:dyDescent="0.2">
      <c r="A40" s="18"/>
      <c r="B40" s="18"/>
      <c r="C40" s="18"/>
      <c r="D40" s="44"/>
      <c r="E40" s="5">
        <v>0</v>
      </c>
      <c r="F40" s="5">
        <v>0</v>
      </c>
      <c r="G40" s="5">
        <v>1</v>
      </c>
      <c r="H40" s="5">
        <v>1</v>
      </c>
      <c r="I40" s="5">
        <v>1</v>
      </c>
      <c r="J40" s="5">
        <v>0</v>
      </c>
      <c r="K40" s="5">
        <v>0</v>
      </c>
      <c r="L40" s="5">
        <v>0</v>
      </c>
      <c r="M40" s="5">
        <v>1</v>
      </c>
      <c r="N40" s="5">
        <v>1</v>
      </c>
      <c r="O40" s="5">
        <v>1</v>
      </c>
      <c r="P40" s="5">
        <v>0</v>
      </c>
      <c r="Q40" s="5">
        <v>0</v>
      </c>
      <c r="R40" s="5">
        <v>0</v>
      </c>
      <c r="S40" s="5">
        <v>1</v>
      </c>
      <c r="T40" s="5">
        <v>1</v>
      </c>
      <c r="U40" s="5">
        <v>1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21">
        <v>0</v>
      </c>
      <c r="AN40" s="21">
        <v>0</v>
      </c>
      <c r="AO40" s="21">
        <v>0</v>
      </c>
      <c r="AP40" s="21">
        <v>0</v>
      </c>
      <c r="AQ40" s="21">
        <v>0</v>
      </c>
      <c r="AR40" s="6">
        <v>-1</v>
      </c>
      <c r="AS40" s="21">
        <v>0</v>
      </c>
      <c r="AT40" s="21">
        <v>0</v>
      </c>
      <c r="AU40" s="21">
        <v>0</v>
      </c>
      <c r="AV40" s="6">
        <v>0</v>
      </c>
      <c r="AW40" s="21">
        <v>0</v>
      </c>
      <c r="AX40" s="21">
        <v>0</v>
      </c>
      <c r="AY40" s="21">
        <v>0</v>
      </c>
      <c r="AZ40" s="21">
        <v>0</v>
      </c>
      <c r="BA40" s="21">
        <v>0</v>
      </c>
      <c r="BB40" s="21">
        <v>0</v>
      </c>
      <c r="BC40" s="21">
        <v>0</v>
      </c>
      <c r="BD40" s="21">
        <v>0</v>
      </c>
      <c r="BE40" s="21">
        <v>0</v>
      </c>
      <c r="BF40" s="21">
        <v>0</v>
      </c>
      <c r="BG40" s="21">
        <v>0</v>
      </c>
      <c r="BH40" s="21">
        <v>0</v>
      </c>
      <c r="BI40" s="21">
        <v>0</v>
      </c>
      <c r="BJ40" s="21">
        <v>0</v>
      </c>
      <c r="BK40" s="21">
        <v>0</v>
      </c>
      <c r="BL40" s="21">
        <v>0</v>
      </c>
      <c r="BM40" s="5"/>
      <c r="BN40" s="5">
        <f t="shared" si="1"/>
        <v>1</v>
      </c>
      <c r="BO40" s="9" t="s">
        <v>100</v>
      </c>
      <c r="BP40" s="14">
        <v>0</v>
      </c>
    </row>
    <row r="41" spans="1:68" x14ac:dyDescent="0.2">
      <c r="A41" s="18"/>
      <c r="B41" s="18"/>
      <c r="C41" s="18"/>
      <c r="D41" s="44"/>
      <c r="E41" s="5">
        <v>0</v>
      </c>
      <c r="F41" s="5">
        <v>0</v>
      </c>
      <c r="G41" s="5">
        <v>0</v>
      </c>
      <c r="H41" s="5">
        <v>1</v>
      </c>
      <c r="I41" s="5">
        <v>1</v>
      </c>
      <c r="J41" s="5">
        <v>1</v>
      </c>
      <c r="K41" s="5">
        <v>0</v>
      </c>
      <c r="L41" s="5">
        <v>0</v>
      </c>
      <c r="M41" s="5">
        <v>0</v>
      </c>
      <c r="N41" s="5">
        <v>1</v>
      </c>
      <c r="O41" s="5">
        <v>1</v>
      </c>
      <c r="P41" s="5">
        <v>1</v>
      </c>
      <c r="Q41" s="5">
        <v>0</v>
      </c>
      <c r="R41" s="5">
        <v>0</v>
      </c>
      <c r="S41" s="5">
        <v>0</v>
      </c>
      <c r="T41" s="5">
        <v>1</v>
      </c>
      <c r="U41" s="5">
        <v>1</v>
      </c>
      <c r="V41" s="5">
        <v>1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21">
        <v>0</v>
      </c>
      <c r="AN41" s="21">
        <v>0</v>
      </c>
      <c r="AO41" s="21">
        <v>0</v>
      </c>
      <c r="AP41" s="21">
        <v>0</v>
      </c>
      <c r="AQ41" s="21">
        <v>0</v>
      </c>
      <c r="AR41" s="21">
        <v>0</v>
      </c>
      <c r="AS41" s="6">
        <v>-1</v>
      </c>
      <c r="AT41" s="6">
        <v>0</v>
      </c>
      <c r="AU41" s="21">
        <v>0</v>
      </c>
      <c r="AV41" s="6">
        <v>0</v>
      </c>
      <c r="AW41" s="21">
        <v>0</v>
      </c>
      <c r="AX41" s="21">
        <v>0</v>
      </c>
      <c r="AY41" s="21">
        <v>0</v>
      </c>
      <c r="AZ41" s="21">
        <v>0</v>
      </c>
      <c r="BA41" s="21">
        <v>0</v>
      </c>
      <c r="BB41" s="21">
        <v>0</v>
      </c>
      <c r="BC41" s="21">
        <v>0</v>
      </c>
      <c r="BD41" s="21">
        <v>0</v>
      </c>
      <c r="BE41" s="21">
        <v>0</v>
      </c>
      <c r="BF41" s="21">
        <v>0</v>
      </c>
      <c r="BG41" s="21">
        <v>0</v>
      </c>
      <c r="BH41" s="21">
        <v>0</v>
      </c>
      <c r="BI41" s="21">
        <v>0</v>
      </c>
      <c r="BJ41" s="21">
        <v>0</v>
      </c>
      <c r="BK41" s="21">
        <v>0</v>
      </c>
      <c r="BL41" s="21">
        <v>0</v>
      </c>
      <c r="BM41" s="5"/>
      <c r="BN41" s="5">
        <f t="shared" si="1"/>
        <v>1</v>
      </c>
      <c r="BO41" s="9" t="s">
        <v>100</v>
      </c>
      <c r="BP41" s="14">
        <v>0</v>
      </c>
    </row>
    <row r="42" spans="1:68" x14ac:dyDescent="0.2">
      <c r="A42" s="18"/>
      <c r="B42" s="18"/>
      <c r="C42" s="18"/>
      <c r="D42" s="44"/>
      <c r="E42" s="5">
        <v>0</v>
      </c>
      <c r="F42" s="5">
        <v>0</v>
      </c>
      <c r="G42" s="5">
        <v>0</v>
      </c>
      <c r="H42" s="5">
        <v>0</v>
      </c>
      <c r="I42" s="5">
        <v>1</v>
      </c>
      <c r="J42" s="5">
        <v>1</v>
      </c>
      <c r="K42" s="5">
        <v>0</v>
      </c>
      <c r="L42" s="5">
        <v>0</v>
      </c>
      <c r="M42" s="5">
        <v>0</v>
      </c>
      <c r="N42" s="5">
        <v>0</v>
      </c>
      <c r="O42" s="5">
        <v>1</v>
      </c>
      <c r="P42" s="5">
        <v>1</v>
      </c>
      <c r="Q42" s="5">
        <v>0</v>
      </c>
      <c r="R42" s="5">
        <v>0</v>
      </c>
      <c r="S42" s="5">
        <v>0</v>
      </c>
      <c r="T42" s="5">
        <v>0</v>
      </c>
      <c r="U42" s="5">
        <v>1</v>
      </c>
      <c r="V42" s="5">
        <v>1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21">
        <v>0</v>
      </c>
      <c r="AN42" s="21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6">
        <v>-1</v>
      </c>
      <c r="AU42" s="21">
        <v>0</v>
      </c>
      <c r="AV42" s="6">
        <v>0</v>
      </c>
      <c r="AW42" s="21">
        <v>0</v>
      </c>
      <c r="AX42" s="21">
        <v>0</v>
      </c>
      <c r="AY42" s="21">
        <v>0</v>
      </c>
      <c r="AZ42" s="21">
        <v>0</v>
      </c>
      <c r="BA42" s="21">
        <v>0</v>
      </c>
      <c r="BB42" s="21">
        <v>0</v>
      </c>
      <c r="BC42" s="21">
        <v>0</v>
      </c>
      <c r="BD42" s="21">
        <v>0</v>
      </c>
      <c r="BE42" s="21">
        <v>0</v>
      </c>
      <c r="BF42" s="21">
        <v>0</v>
      </c>
      <c r="BG42" s="21">
        <v>0</v>
      </c>
      <c r="BH42" s="21">
        <v>0</v>
      </c>
      <c r="BI42" s="21">
        <v>0</v>
      </c>
      <c r="BJ42" s="21">
        <v>0</v>
      </c>
      <c r="BK42" s="21">
        <v>0</v>
      </c>
      <c r="BL42" s="21">
        <v>0</v>
      </c>
      <c r="BM42" s="5"/>
      <c r="BN42" s="5">
        <f t="shared" si="1"/>
        <v>1</v>
      </c>
      <c r="BO42" s="9" t="s">
        <v>100</v>
      </c>
      <c r="BP42" s="14">
        <v>0</v>
      </c>
    </row>
    <row r="43" spans="1:68" x14ac:dyDescent="0.2">
      <c r="A43" s="18"/>
      <c r="B43" s="18"/>
      <c r="C43" s="18"/>
      <c r="D43" s="44"/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1</v>
      </c>
      <c r="L43" s="5">
        <v>1</v>
      </c>
      <c r="M43" s="5">
        <v>0</v>
      </c>
      <c r="N43" s="5">
        <v>0</v>
      </c>
      <c r="O43" s="5">
        <v>0</v>
      </c>
      <c r="P43" s="5">
        <v>0</v>
      </c>
      <c r="Q43" s="5">
        <v>1</v>
      </c>
      <c r="R43" s="5">
        <v>1</v>
      </c>
      <c r="S43" s="5">
        <v>0</v>
      </c>
      <c r="T43" s="5">
        <v>0</v>
      </c>
      <c r="U43" s="5">
        <v>0</v>
      </c>
      <c r="V43" s="5">
        <v>0</v>
      </c>
      <c r="W43" s="5">
        <v>1</v>
      </c>
      <c r="X43" s="5">
        <v>1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21">
        <v>0</v>
      </c>
      <c r="AN43" s="21">
        <v>0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21">
        <v>0</v>
      </c>
      <c r="AU43" s="6">
        <v>-1</v>
      </c>
      <c r="AV43" s="6">
        <v>0</v>
      </c>
      <c r="AW43" s="21">
        <v>0</v>
      </c>
      <c r="AX43" s="21">
        <v>0</v>
      </c>
      <c r="AY43" s="21">
        <v>0</v>
      </c>
      <c r="AZ43" s="21">
        <v>0</v>
      </c>
      <c r="BA43" s="21">
        <v>0</v>
      </c>
      <c r="BB43" s="21">
        <v>0</v>
      </c>
      <c r="BC43" s="21">
        <v>0</v>
      </c>
      <c r="BD43" s="21">
        <v>0</v>
      </c>
      <c r="BE43" s="21">
        <v>0</v>
      </c>
      <c r="BF43" s="21">
        <v>0</v>
      </c>
      <c r="BG43" s="21">
        <v>0</v>
      </c>
      <c r="BH43" s="21">
        <v>0</v>
      </c>
      <c r="BI43" s="21">
        <v>0</v>
      </c>
      <c r="BJ43" s="21">
        <v>0</v>
      </c>
      <c r="BK43" s="21">
        <v>0</v>
      </c>
      <c r="BL43" s="21">
        <v>0</v>
      </c>
      <c r="BM43" s="5"/>
      <c r="BN43" s="5">
        <f t="shared" si="1"/>
        <v>-1</v>
      </c>
      <c r="BO43" s="9" t="s">
        <v>100</v>
      </c>
      <c r="BP43" s="14">
        <v>0</v>
      </c>
    </row>
    <row r="44" spans="1:68" x14ac:dyDescent="0.2">
      <c r="A44" s="18"/>
      <c r="B44" s="18"/>
      <c r="C44" s="18"/>
      <c r="D44" s="44"/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1</v>
      </c>
      <c r="L44" s="5">
        <v>1</v>
      </c>
      <c r="M44" s="5">
        <v>1</v>
      </c>
      <c r="N44" s="5">
        <v>0</v>
      </c>
      <c r="O44" s="5">
        <v>0</v>
      </c>
      <c r="P44" s="5">
        <v>0</v>
      </c>
      <c r="Q44" s="5">
        <v>1</v>
      </c>
      <c r="R44" s="5">
        <v>1</v>
      </c>
      <c r="S44" s="5">
        <v>1</v>
      </c>
      <c r="T44" s="5">
        <v>0</v>
      </c>
      <c r="U44" s="5">
        <v>0</v>
      </c>
      <c r="V44" s="5">
        <v>0</v>
      </c>
      <c r="W44" s="5">
        <v>1</v>
      </c>
      <c r="X44" s="5">
        <v>1</v>
      </c>
      <c r="Y44" s="5">
        <v>1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21">
        <v>0</v>
      </c>
      <c r="AN44" s="21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-1</v>
      </c>
      <c r="AW44" s="21">
        <v>0</v>
      </c>
      <c r="AX44" s="21">
        <v>0</v>
      </c>
      <c r="AY44" s="21">
        <v>0</v>
      </c>
      <c r="AZ44" s="21">
        <v>0</v>
      </c>
      <c r="BA44" s="21">
        <v>0</v>
      </c>
      <c r="BB44" s="21">
        <v>0</v>
      </c>
      <c r="BC44" s="21">
        <v>0</v>
      </c>
      <c r="BD44" s="21">
        <v>0</v>
      </c>
      <c r="BE44" s="21">
        <v>0</v>
      </c>
      <c r="BF44" s="21">
        <v>0</v>
      </c>
      <c r="BG44" s="21">
        <v>0</v>
      </c>
      <c r="BH44" s="21">
        <v>0</v>
      </c>
      <c r="BI44" s="21">
        <v>0</v>
      </c>
      <c r="BJ44" s="21">
        <v>0</v>
      </c>
      <c r="BK44" s="21">
        <v>0</v>
      </c>
      <c r="BL44" s="21">
        <v>0</v>
      </c>
      <c r="BM44" s="5"/>
      <c r="BN44" s="5">
        <f t="shared" si="1"/>
        <v>-1</v>
      </c>
      <c r="BO44" s="9" t="s">
        <v>100</v>
      </c>
      <c r="BP44" s="14">
        <v>0</v>
      </c>
    </row>
    <row r="45" spans="1:68" x14ac:dyDescent="0.2">
      <c r="A45" s="18"/>
      <c r="B45" s="18"/>
      <c r="C45" s="18"/>
      <c r="D45" s="44"/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1</v>
      </c>
      <c r="M45" s="5">
        <v>1</v>
      </c>
      <c r="N45" s="5">
        <v>1</v>
      </c>
      <c r="O45" s="5">
        <v>0</v>
      </c>
      <c r="P45" s="5">
        <v>0</v>
      </c>
      <c r="Q45" s="5">
        <v>0</v>
      </c>
      <c r="R45" s="5">
        <v>1</v>
      </c>
      <c r="S45" s="5">
        <v>1</v>
      </c>
      <c r="T45" s="5">
        <v>1</v>
      </c>
      <c r="U45" s="5">
        <v>0</v>
      </c>
      <c r="V45" s="5">
        <v>0</v>
      </c>
      <c r="W45" s="5">
        <v>0</v>
      </c>
      <c r="X45" s="5">
        <v>1</v>
      </c>
      <c r="Y45" s="5">
        <v>1</v>
      </c>
      <c r="Z45" s="5">
        <v>1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21">
        <v>0</v>
      </c>
      <c r="AN45" s="21">
        <v>0</v>
      </c>
      <c r="AO45" s="21">
        <v>0</v>
      </c>
      <c r="AP45" s="21">
        <v>0</v>
      </c>
      <c r="AQ45" s="21">
        <v>0</v>
      </c>
      <c r="AR45" s="21">
        <v>0</v>
      </c>
      <c r="AS45" s="21">
        <v>0</v>
      </c>
      <c r="AT45" s="21">
        <v>0</v>
      </c>
      <c r="AU45" s="21">
        <v>0</v>
      </c>
      <c r="AV45" s="21">
        <v>0</v>
      </c>
      <c r="AW45" s="6">
        <v>-1</v>
      </c>
      <c r="AX45" s="21">
        <v>0</v>
      </c>
      <c r="AY45" s="21">
        <v>0</v>
      </c>
      <c r="AZ45" s="21">
        <v>0</v>
      </c>
      <c r="BA45" s="21">
        <v>0</v>
      </c>
      <c r="BB45" s="21">
        <v>0</v>
      </c>
      <c r="BC45" s="21">
        <v>0</v>
      </c>
      <c r="BD45" s="21">
        <v>0</v>
      </c>
      <c r="BE45" s="21">
        <v>0</v>
      </c>
      <c r="BF45" s="21">
        <v>0</v>
      </c>
      <c r="BG45" s="21">
        <v>0</v>
      </c>
      <c r="BH45" s="21">
        <v>0</v>
      </c>
      <c r="BI45" s="21">
        <v>0</v>
      </c>
      <c r="BJ45" s="21">
        <v>0</v>
      </c>
      <c r="BK45" s="21">
        <v>0</v>
      </c>
      <c r="BL45" s="21">
        <v>0</v>
      </c>
      <c r="BM45" s="5"/>
      <c r="BN45" s="5">
        <f t="shared" si="1"/>
        <v>-1</v>
      </c>
      <c r="BO45" s="9" t="s">
        <v>100</v>
      </c>
      <c r="BP45" s="14">
        <v>0</v>
      </c>
    </row>
    <row r="46" spans="1:68" x14ac:dyDescent="0.2">
      <c r="A46" s="18"/>
      <c r="B46" s="18"/>
      <c r="C46" s="18"/>
      <c r="D46" s="44"/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1</v>
      </c>
      <c r="N46" s="5">
        <v>1</v>
      </c>
      <c r="O46" s="5">
        <v>1</v>
      </c>
      <c r="P46" s="5">
        <v>0</v>
      </c>
      <c r="Q46" s="5">
        <v>0</v>
      </c>
      <c r="R46" s="5">
        <v>0</v>
      </c>
      <c r="S46" s="5">
        <v>1</v>
      </c>
      <c r="T46" s="5">
        <v>1</v>
      </c>
      <c r="U46" s="5">
        <v>1</v>
      </c>
      <c r="V46" s="5">
        <v>0</v>
      </c>
      <c r="W46" s="5">
        <v>0</v>
      </c>
      <c r="X46" s="5">
        <v>0</v>
      </c>
      <c r="Y46" s="5">
        <v>1</v>
      </c>
      <c r="Z46" s="5">
        <v>1</v>
      </c>
      <c r="AA46" s="5">
        <v>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21">
        <v>0</v>
      </c>
      <c r="AN46" s="21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1">
        <v>0</v>
      </c>
      <c r="AV46" s="21">
        <v>0</v>
      </c>
      <c r="AW46" s="21">
        <v>0</v>
      </c>
      <c r="AX46" s="6">
        <v>-1</v>
      </c>
      <c r="AY46" s="21">
        <v>0</v>
      </c>
      <c r="AZ46" s="21">
        <v>0</v>
      </c>
      <c r="BA46" s="21">
        <v>0</v>
      </c>
      <c r="BB46" s="21">
        <v>0</v>
      </c>
      <c r="BC46" s="21">
        <v>0</v>
      </c>
      <c r="BD46" s="21">
        <v>0</v>
      </c>
      <c r="BE46" s="21">
        <v>0</v>
      </c>
      <c r="BF46" s="21">
        <v>0</v>
      </c>
      <c r="BG46" s="21">
        <v>0</v>
      </c>
      <c r="BH46" s="21">
        <v>0</v>
      </c>
      <c r="BI46" s="21">
        <v>0</v>
      </c>
      <c r="BJ46" s="21">
        <v>0</v>
      </c>
      <c r="BK46" s="21">
        <v>0</v>
      </c>
      <c r="BL46" s="21">
        <v>0</v>
      </c>
      <c r="BM46" s="5"/>
      <c r="BN46" s="5">
        <f t="shared" si="1"/>
        <v>1</v>
      </c>
      <c r="BO46" s="9" t="s">
        <v>100</v>
      </c>
      <c r="BP46" s="14">
        <v>0</v>
      </c>
    </row>
    <row r="47" spans="1:68" x14ac:dyDescent="0.2">
      <c r="A47" s="18"/>
      <c r="B47" s="18"/>
      <c r="C47" s="18"/>
      <c r="D47" s="44"/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1</v>
      </c>
      <c r="O47" s="5">
        <v>1</v>
      </c>
      <c r="P47" s="5">
        <v>1</v>
      </c>
      <c r="Q47" s="5">
        <v>0</v>
      </c>
      <c r="R47" s="5">
        <v>0</v>
      </c>
      <c r="S47" s="5">
        <v>0</v>
      </c>
      <c r="T47" s="5">
        <v>1</v>
      </c>
      <c r="U47" s="5">
        <v>1</v>
      </c>
      <c r="V47" s="5">
        <v>1</v>
      </c>
      <c r="W47" s="5">
        <v>0</v>
      </c>
      <c r="X47" s="5">
        <v>0</v>
      </c>
      <c r="Y47" s="5">
        <v>0</v>
      </c>
      <c r="Z47" s="5">
        <v>1</v>
      </c>
      <c r="AA47" s="5">
        <v>1</v>
      </c>
      <c r="AB47" s="5">
        <v>1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21">
        <v>0</v>
      </c>
      <c r="AN47" s="21">
        <v>0</v>
      </c>
      <c r="AO47" s="21">
        <v>0</v>
      </c>
      <c r="AP47" s="21">
        <v>0</v>
      </c>
      <c r="AQ47" s="21">
        <v>0</v>
      </c>
      <c r="AR47" s="21">
        <v>0</v>
      </c>
      <c r="AS47" s="21">
        <v>0</v>
      </c>
      <c r="AT47" s="21">
        <v>0</v>
      </c>
      <c r="AU47" s="21">
        <v>0</v>
      </c>
      <c r="AV47" s="21">
        <v>0</v>
      </c>
      <c r="AW47" s="21">
        <v>0</v>
      </c>
      <c r="AX47" s="21">
        <v>0</v>
      </c>
      <c r="AY47" s="6">
        <v>-1</v>
      </c>
      <c r="AZ47" s="21">
        <v>0</v>
      </c>
      <c r="BA47" s="21">
        <v>0</v>
      </c>
      <c r="BB47" s="21">
        <v>0</v>
      </c>
      <c r="BC47" s="21">
        <v>0</v>
      </c>
      <c r="BD47" s="21">
        <v>0</v>
      </c>
      <c r="BE47" s="21">
        <v>0</v>
      </c>
      <c r="BF47" s="21">
        <v>0</v>
      </c>
      <c r="BG47" s="21">
        <v>0</v>
      </c>
      <c r="BH47" s="21">
        <v>0</v>
      </c>
      <c r="BI47" s="21">
        <v>0</v>
      </c>
      <c r="BJ47" s="21">
        <v>0</v>
      </c>
      <c r="BK47" s="21">
        <v>0</v>
      </c>
      <c r="BL47" s="21">
        <v>0</v>
      </c>
      <c r="BM47" s="5"/>
      <c r="BN47" s="5">
        <f t="shared" si="1"/>
        <v>1</v>
      </c>
      <c r="BO47" s="9" t="s">
        <v>100</v>
      </c>
      <c r="BP47" s="14">
        <v>0</v>
      </c>
    </row>
    <row r="48" spans="1:68" x14ac:dyDescent="0.2">
      <c r="A48" s="18"/>
      <c r="B48" s="18"/>
      <c r="C48" s="18"/>
      <c r="D48" s="44"/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1</v>
      </c>
      <c r="P48" s="5">
        <v>1</v>
      </c>
      <c r="Q48" s="5">
        <v>0</v>
      </c>
      <c r="R48" s="5">
        <v>0</v>
      </c>
      <c r="S48" s="5">
        <v>0</v>
      </c>
      <c r="T48" s="5">
        <v>0</v>
      </c>
      <c r="U48" s="5">
        <v>1</v>
      </c>
      <c r="V48" s="5">
        <v>1</v>
      </c>
      <c r="W48" s="5">
        <v>0</v>
      </c>
      <c r="X48" s="5">
        <v>0</v>
      </c>
      <c r="Y48" s="5">
        <v>0</v>
      </c>
      <c r="Z48" s="5">
        <v>0</v>
      </c>
      <c r="AA48" s="5">
        <v>1</v>
      </c>
      <c r="AB48" s="5">
        <v>1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21">
        <v>0</v>
      </c>
      <c r="AN48" s="21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1">
        <v>0</v>
      </c>
      <c r="AV48" s="21">
        <v>0</v>
      </c>
      <c r="AW48" s="21">
        <v>0</v>
      </c>
      <c r="AX48" s="21">
        <v>0</v>
      </c>
      <c r="AY48" s="21">
        <v>0</v>
      </c>
      <c r="AZ48" s="6">
        <v>-1</v>
      </c>
      <c r="BA48" s="21">
        <v>0</v>
      </c>
      <c r="BB48" s="21">
        <v>0</v>
      </c>
      <c r="BC48" s="21">
        <v>0</v>
      </c>
      <c r="BD48" s="21">
        <v>0</v>
      </c>
      <c r="BE48" s="21">
        <v>0</v>
      </c>
      <c r="BF48" s="21">
        <v>0</v>
      </c>
      <c r="BG48" s="21">
        <v>0</v>
      </c>
      <c r="BH48" s="21">
        <v>0</v>
      </c>
      <c r="BI48" s="21">
        <v>0</v>
      </c>
      <c r="BJ48" s="21">
        <v>0</v>
      </c>
      <c r="BK48" s="21">
        <v>0</v>
      </c>
      <c r="BL48" s="21">
        <v>0</v>
      </c>
      <c r="BM48" s="5"/>
      <c r="BN48" s="5">
        <f t="shared" si="1"/>
        <v>1</v>
      </c>
      <c r="BO48" s="9" t="s">
        <v>100</v>
      </c>
      <c r="BP48" s="14">
        <v>0</v>
      </c>
    </row>
    <row r="49" spans="1:68" x14ac:dyDescent="0.2">
      <c r="A49" s="18"/>
      <c r="B49" s="18"/>
      <c r="C49" s="18"/>
      <c r="D49" s="44"/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1</v>
      </c>
      <c r="R49" s="5">
        <v>1</v>
      </c>
      <c r="S49" s="5">
        <v>0</v>
      </c>
      <c r="T49" s="5">
        <v>0</v>
      </c>
      <c r="U49" s="5">
        <v>0</v>
      </c>
      <c r="V49" s="5">
        <v>0</v>
      </c>
      <c r="W49" s="5">
        <v>1</v>
      </c>
      <c r="X49" s="5">
        <v>1</v>
      </c>
      <c r="Y49" s="5">
        <v>0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21">
        <v>0</v>
      </c>
      <c r="AN49" s="21">
        <v>0</v>
      </c>
      <c r="AO49" s="21">
        <v>0</v>
      </c>
      <c r="AP49" s="21">
        <v>0</v>
      </c>
      <c r="AQ49" s="21">
        <v>0</v>
      </c>
      <c r="AR49" s="21">
        <v>0</v>
      </c>
      <c r="AS49" s="21">
        <v>0</v>
      </c>
      <c r="AT49" s="21">
        <v>0</v>
      </c>
      <c r="AU49" s="21">
        <v>0</v>
      </c>
      <c r="AV49" s="21">
        <v>0</v>
      </c>
      <c r="AW49" s="21">
        <v>0</v>
      </c>
      <c r="AX49" s="6">
        <v>0</v>
      </c>
      <c r="AY49" s="21">
        <v>0</v>
      </c>
      <c r="AZ49" s="21">
        <v>0</v>
      </c>
      <c r="BA49" s="6">
        <v>-1</v>
      </c>
      <c r="BB49" s="21">
        <v>0</v>
      </c>
      <c r="BC49" s="21">
        <v>0</v>
      </c>
      <c r="BD49" s="21">
        <v>0</v>
      </c>
      <c r="BE49" s="21">
        <v>0</v>
      </c>
      <c r="BF49" s="21">
        <v>0</v>
      </c>
      <c r="BG49" s="21">
        <v>0</v>
      </c>
      <c r="BH49" s="21">
        <v>0</v>
      </c>
      <c r="BI49" s="21">
        <v>0</v>
      </c>
      <c r="BJ49" s="21">
        <v>0</v>
      </c>
      <c r="BK49" s="21">
        <v>0</v>
      </c>
      <c r="BL49" s="21">
        <v>0</v>
      </c>
      <c r="BM49" s="5"/>
      <c r="BN49" s="5">
        <f t="shared" si="1"/>
        <v>0</v>
      </c>
      <c r="BO49" s="9" t="s">
        <v>100</v>
      </c>
      <c r="BP49" s="14">
        <v>0</v>
      </c>
    </row>
    <row r="50" spans="1:68" x14ac:dyDescent="0.2">
      <c r="A50" s="18"/>
      <c r="B50" s="18"/>
      <c r="C50" s="18"/>
      <c r="D50" s="44"/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1</v>
      </c>
      <c r="R50" s="5">
        <v>1</v>
      </c>
      <c r="S50" s="5">
        <v>1</v>
      </c>
      <c r="T50" s="5">
        <v>0</v>
      </c>
      <c r="U50" s="5">
        <v>0</v>
      </c>
      <c r="V50" s="5">
        <v>0</v>
      </c>
      <c r="W50" s="5">
        <v>1</v>
      </c>
      <c r="X50" s="5">
        <v>1</v>
      </c>
      <c r="Y50" s="5">
        <v>1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5">
        <v>1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21">
        <v>0</v>
      </c>
      <c r="AN50" s="21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1">
        <v>0</v>
      </c>
      <c r="AV50" s="21">
        <v>0</v>
      </c>
      <c r="AW50" s="21">
        <v>0</v>
      </c>
      <c r="AX50" s="6">
        <v>0</v>
      </c>
      <c r="AY50" s="21">
        <v>0</v>
      </c>
      <c r="AZ50" s="21">
        <v>0</v>
      </c>
      <c r="BA50" s="21">
        <v>0</v>
      </c>
      <c r="BB50" s="6">
        <v>-1</v>
      </c>
      <c r="BC50" s="21">
        <v>0</v>
      </c>
      <c r="BD50" s="21">
        <v>0</v>
      </c>
      <c r="BE50" s="21">
        <v>0</v>
      </c>
      <c r="BF50" s="21">
        <v>0</v>
      </c>
      <c r="BG50" s="21">
        <v>0</v>
      </c>
      <c r="BH50" s="21">
        <v>0</v>
      </c>
      <c r="BI50" s="21">
        <v>0</v>
      </c>
      <c r="BJ50" s="21">
        <v>0</v>
      </c>
      <c r="BK50" s="21">
        <v>0</v>
      </c>
      <c r="BL50" s="21">
        <v>0</v>
      </c>
      <c r="BM50" s="5"/>
      <c r="BN50" s="5">
        <f t="shared" si="1"/>
        <v>0</v>
      </c>
      <c r="BO50" s="9" t="s">
        <v>100</v>
      </c>
      <c r="BP50" s="14">
        <v>0</v>
      </c>
    </row>
    <row r="51" spans="1:68" x14ac:dyDescent="0.2">
      <c r="A51" s="18"/>
      <c r="B51" s="18"/>
      <c r="C51" s="18"/>
      <c r="D51" s="44"/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1</v>
      </c>
      <c r="S51" s="5">
        <v>1</v>
      </c>
      <c r="T51" s="5">
        <v>1</v>
      </c>
      <c r="U51" s="5">
        <v>0</v>
      </c>
      <c r="V51" s="5">
        <v>0</v>
      </c>
      <c r="W51" s="5">
        <v>0</v>
      </c>
      <c r="X51" s="5">
        <v>1</v>
      </c>
      <c r="Y51" s="5">
        <v>1</v>
      </c>
      <c r="Z51" s="5">
        <v>1</v>
      </c>
      <c r="AA51" s="5">
        <v>0</v>
      </c>
      <c r="AB51" s="5">
        <v>0</v>
      </c>
      <c r="AC51" s="5">
        <v>0</v>
      </c>
      <c r="AD51" s="5">
        <v>1</v>
      </c>
      <c r="AE51" s="5">
        <v>1</v>
      </c>
      <c r="AF51" s="5">
        <v>1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6">
        <v>-1</v>
      </c>
      <c r="BD51" s="21">
        <v>0</v>
      </c>
      <c r="BE51" s="21">
        <v>0</v>
      </c>
      <c r="BF51" s="21">
        <v>0</v>
      </c>
      <c r="BG51" s="21">
        <v>0</v>
      </c>
      <c r="BH51" s="21">
        <v>0</v>
      </c>
      <c r="BI51" s="21">
        <v>0</v>
      </c>
      <c r="BJ51" s="21">
        <v>0</v>
      </c>
      <c r="BK51" s="21">
        <v>0</v>
      </c>
      <c r="BL51" s="21">
        <v>0</v>
      </c>
      <c r="BM51" s="5"/>
      <c r="BN51" s="5">
        <f t="shared" si="1"/>
        <v>0</v>
      </c>
      <c r="BO51" s="9" t="s">
        <v>100</v>
      </c>
      <c r="BP51" s="14">
        <v>0</v>
      </c>
    </row>
    <row r="52" spans="1:68" x14ac:dyDescent="0.2">
      <c r="A52" s="18"/>
      <c r="B52" s="18"/>
      <c r="C52" s="18"/>
      <c r="D52" s="44"/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1</v>
      </c>
      <c r="T52" s="5">
        <v>1</v>
      </c>
      <c r="U52" s="5">
        <v>1</v>
      </c>
      <c r="V52" s="5">
        <v>0</v>
      </c>
      <c r="W52" s="5">
        <v>0</v>
      </c>
      <c r="X52" s="5">
        <v>0</v>
      </c>
      <c r="Y52" s="5">
        <v>1</v>
      </c>
      <c r="Z52" s="5">
        <v>1</v>
      </c>
      <c r="AA52" s="5">
        <v>1</v>
      </c>
      <c r="AB52" s="5">
        <v>0</v>
      </c>
      <c r="AC52" s="5">
        <v>0</v>
      </c>
      <c r="AD52" s="5">
        <v>0</v>
      </c>
      <c r="AE52" s="5">
        <v>1</v>
      </c>
      <c r="AF52" s="5">
        <v>1</v>
      </c>
      <c r="AG52" s="5">
        <v>1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21">
        <v>0</v>
      </c>
      <c r="BD52" s="6">
        <v>-1</v>
      </c>
      <c r="BE52" s="21">
        <v>0</v>
      </c>
      <c r="BF52" s="21">
        <v>0</v>
      </c>
      <c r="BG52" s="21">
        <v>0</v>
      </c>
      <c r="BH52" s="21">
        <v>0</v>
      </c>
      <c r="BI52" s="21">
        <v>0</v>
      </c>
      <c r="BJ52" s="21">
        <v>0</v>
      </c>
      <c r="BK52" s="21">
        <v>0</v>
      </c>
      <c r="BL52" s="21">
        <v>0</v>
      </c>
      <c r="BM52" s="5"/>
      <c r="BN52" s="5">
        <f t="shared" si="1"/>
        <v>0</v>
      </c>
      <c r="BO52" s="9" t="s">
        <v>100</v>
      </c>
      <c r="BP52" s="14">
        <v>0</v>
      </c>
    </row>
    <row r="53" spans="1:68" x14ac:dyDescent="0.2">
      <c r="A53" s="18"/>
      <c r="B53" s="18"/>
      <c r="C53" s="18"/>
      <c r="D53" s="44"/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1</v>
      </c>
      <c r="U53" s="5">
        <v>1</v>
      </c>
      <c r="V53" s="5">
        <v>1</v>
      </c>
      <c r="W53" s="5">
        <v>0</v>
      </c>
      <c r="X53" s="5">
        <v>0</v>
      </c>
      <c r="Y53" s="5">
        <v>0</v>
      </c>
      <c r="Z53" s="5">
        <v>1</v>
      </c>
      <c r="AA53" s="5">
        <v>1</v>
      </c>
      <c r="AB53" s="5">
        <v>1</v>
      </c>
      <c r="AC53" s="5">
        <v>0</v>
      </c>
      <c r="AD53" s="5">
        <v>0</v>
      </c>
      <c r="AE53" s="5">
        <v>0</v>
      </c>
      <c r="AF53" s="5">
        <v>1</v>
      </c>
      <c r="AG53" s="5">
        <v>1</v>
      </c>
      <c r="AH53" s="5">
        <v>1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6">
        <v>-1</v>
      </c>
      <c r="BF53" s="21">
        <v>0</v>
      </c>
      <c r="BG53" s="21">
        <v>0</v>
      </c>
      <c r="BH53" s="21">
        <v>0</v>
      </c>
      <c r="BI53" s="21">
        <v>0</v>
      </c>
      <c r="BJ53" s="21">
        <v>0</v>
      </c>
      <c r="BK53" s="21">
        <v>0</v>
      </c>
      <c r="BL53" s="21">
        <v>0</v>
      </c>
      <c r="BM53" s="5"/>
      <c r="BN53" s="5">
        <f t="shared" si="1"/>
        <v>0</v>
      </c>
      <c r="BO53" s="9" t="s">
        <v>100</v>
      </c>
      <c r="BP53" s="14">
        <v>0</v>
      </c>
    </row>
    <row r="54" spans="1:68" x14ac:dyDescent="0.2">
      <c r="A54" s="18"/>
      <c r="B54" s="18"/>
      <c r="C54" s="18"/>
      <c r="D54" s="44"/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1</v>
      </c>
      <c r="V54" s="5">
        <v>1</v>
      </c>
      <c r="W54" s="5">
        <v>0</v>
      </c>
      <c r="X54" s="5">
        <v>0</v>
      </c>
      <c r="Y54" s="5">
        <v>0</v>
      </c>
      <c r="Z54" s="5">
        <v>0</v>
      </c>
      <c r="AA54" s="5">
        <v>1</v>
      </c>
      <c r="AB54" s="5">
        <v>1</v>
      </c>
      <c r="AC54" s="5">
        <v>0</v>
      </c>
      <c r="AD54" s="5">
        <v>0</v>
      </c>
      <c r="AE54" s="5">
        <v>0</v>
      </c>
      <c r="AF54" s="5">
        <v>0</v>
      </c>
      <c r="AG54" s="5">
        <v>1</v>
      </c>
      <c r="AH54" s="5">
        <v>1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6">
        <v>-1</v>
      </c>
      <c r="BG54" s="21">
        <v>0</v>
      </c>
      <c r="BH54" s="21">
        <v>0</v>
      </c>
      <c r="BI54" s="21">
        <v>0</v>
      </c>
      <c r="BJ54" s="21">
        <v>0</v>
      </c>
      <c r="BK54" s="21">
        <v>0</v>
      </c>
      <c r="BL54" s="21">
        <v>0</v>
      </c>
      <c r="BM54" s="5"/>
      <c r="BN54" s="5">
        <f t="shared" si="1"/>
        <v>0</v>
      </c>
      <c r="BO54" s="9" t="s">
        <v>100</v>
      </c>
      <c r="BP54" s="14">
        <v>0</v>
      </c>
    </row>
    <row r="55" spans="1:68" x14ac:dyDescent="0.2">
      <c r="A55" s="18"/>
      <c r="B55" s="18"/>
      <c r="C55" s="18"/>
      <c r="D55" s="44"/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1</v>
      </c>
      <c r="X55" s="5">
        <v>1</v>
      </c>
      <c r="Y55" s="5">
        <v>0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6">
        <v>-1</v>
      </c>
      <c r="BH55" s="21">
        <v>0</v>
      </c>
      <c r="BI55" s="21">
        <v>0</v>
      </c>
      <c r="BJ55" s="21">
        <v>0</v>
      </c>
      <c r="BK55" s="21">
        <v>0</v>
      </c>
      <c r="BL55" s="21">
        <v>0</v>
      </c>
      <c r="BM55" s="5"/>
      <c r="BN55" s="5">
        <f t="shared" si="1"/>
        <v>0</v>
      </c>
      <c r="BO55" s="9" t="s">
        <v>100</v>
      </c>
      <c r="BP55" s="14">
        <v>0</v>
      </c>
    </row>
    <row r="56" spans="1:68" x14ac:dyDescent="0.2">
      <c r="A56" s="18"/>
      <c r="B56" s="18"/>
      <c r="C56" s="18"/>
      <c r="D56" s="44"/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1</v>
      </c>
      <c r="X56" s="5">
        <v>1</v>
      </c>
      <c r="Y56" s="5">
        <v>1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5">
        <v>1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6">
        <v>-1</v>
      </c>
      <c r="BI56" s="21">
        <v>0</v>
      </c>
      <c r="BJ56" s="21">
        <v>0</v>
      </c>
      <c r="BK56" s="21">
        <v>0</v>
      </c>
      <c r="BL56" s="21">
        <v>0</v>
      </c>
      <c r="BM56" s="5"/>
      <c r="BN56" s="5">
        <f t="shared" si="1"/>
        <v>0</v>
      </c>
      <c r="BO56" s="9" t="s">
        <v>100</v>
      </c>
      <c r="BP56" s="14">
        <v>0</v>
      </c>
    </row>
    <row r="57" spans="1:68" x14ac:dyDescent="0.2">
      <c r="A57" s="18"/>
      <c r="B57" s="18"/>
      <c r="C57" s="18"/>
      <c r="D57" s="44"/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1</v>
      </c>
      <c r="Y57" s="5">
        <v>1</v>
      </c>
      <c r="Z57" s="5">
        <v>1</v>
      </c>
      <c r="AA57" s="5">
        <v>0</v>
      </c>
      <c r="AB57" s="5">
        <v>0</v>
      </c>
      <c r="AC57" s="5">
        <v>0</v>
      </c>
      <c r="AD57" s="5">
        <v>1</v>
      </c>
      <c r="AE57" s="5">
        <v>1</v>
      </c>
      <c r="AF57" s="5">
        <v>1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21">
        <v>0</v>
      </c>
      <c r="BI57" s="6">
        <v>-1</v>
      </c>
      <c r="BJ57" s="21">
        <v>0</v>
      </c>
      <c r="BK57" s="21">
        <v>0</v>
      </c>
      <c r="BL57" s="21">
        <v>0</v>
      </c>
      <c r="BM57" s="5"/>
      <c r="BN57" s="5">
        <f t="shared" si="1"/>
        <v>0</v>
      </c>
      <c r="BO57" s="9" t="s">
        <v>100</v>
      </c>
      <c r="BP57" s="14">
        <v>0</v>
      </c>
    </row>
    <row r="58" spans="1:68" x14ac:dyDescent="0.2">
      <c r="A58" s="18"/>
      <c r="B58" s="18"/>
      <c r="C58" s="18"/>
      <c r="D58" s="44"/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1</v>
      </c>
      <c r="Z58" s="5">
        <v>1</v>
      </c>
      <c r="AA58" s="5">
        <v>1</v>
      </c>
      <c r="AB58" s="5">
        <v>0</v>
      </c>
      <c r="AC58" s="5">
        <v>0</v>
      </c>
      <c r="AD58" s="5">
        <v>0</v>
      </c>
      <c r="AE58" s="5">
        <v>1</v>
      </c>
      <c r="AF58" s="5">
        <v>1</v>
      </c>
      <c r="AG58" s="5">
        <v>1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21">
        <v>0</v>
      </c>
      <c r="BI58" s="21">
        <v>0</v>
      </c>
      <c r="BJ58" s="6">
        <v>-1</v>
      </c>
      <c r="BK58" s="21">
        <v>0</v>
      </c>
      <c r="BL58" s="21">
        <v>0</v>
      </c>
      <c r="BM58" s="5"/>
      <c r="BN58" s="5">
        <f t="shared" si="1"/>
        <v>0</v>
      </c>
      <c r="BO58" s="9" t="s">
        <v>100</v>
      </c>
      <c r="BP58" s="14">
        <v>0</v>
      </c>
    </row>
    <row r="59" spans="1:68" x14ac:dyDescent="0.2">
      <c r="A59" s="18"/>
      <c r="B59" s="18"/>
      <c r="C59" s="18"/>
      <c r="D59" s="44"/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1</v>
      </c>
      <c r="AA59" s="5">
        <v>1</v>
      </c>
      <c r="AB59" s="5">
        <v>1</v>
      </c>
      <c r="AC59" s="5">
        <v>0</v>
      </c>
      <c r="AD59" s="5">
        <v>0</v>
      </c>
      <c r="AE59" s="5">
        <v>0</v>
      </c>
      <c r="AF59" s="5">
        <v>1</v>
      </c>
      <c r="AG59" s="5">
        <v>1</v>
      </c>
      <c r="AH59" s="5">
        <v>1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6">
        <v>-1</v>
      </c>
      <c r="BL59" s="21">
        <v>0</v>
      </c>
      <c r="BM59" s="5"/>
      <c r="BN59" s="5">
        <f t="shared" si="1"/>
        <v>0</v>
      </c>
      <c r="BO59" s="9" t="s">
        <v>100</v>
      </c>
      <c r="BP59" s="14">
        <v>0</v>
      </c>
    </row>
    <row r="60" spans="1:68" x14ac:dyDescent="0.2">
      <c r="A60" s="18"/>
      <c r="B60" s="18"/>
      <c r="C60" s="18"/>
      <c r="D60" s="44"/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1</v>
      </c>
      <c r="AB60" s="5">
        <v>1</v>
      </c>
      <c r="AC60" s="5">
        <v>0</v>
      </c>
      <c r="AD60" s="5">
        <v>0</v>
      </c>
      <c r="AE60" s="5">
        <v>0</v>
      </c>
      <c r="AF60" s="5">
        <v>0</v>
      </c>
      <c r="AG60" s="5">
        <v>1</v>
      </c>
      <c r="AH60" s="5">
        <v>1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6">
        <v>-1</v>
      </c>
      <c r="BM60" s="5"/>
      <c r="BN60" s="5">
        <f>SUM(SUMPRODUCT($AI$4:$BL$4,E60:AH60), AI60:BL60)</f>
        <v>0</v>
      </c>
      <c r="BO60" s="9" t="s">
        <v>100</v>
      </c>
      <c r="BP60" s="14">
        <v>0</v>
      </c>
    </row>
    <row r="61" spans="1:68" x14ac:dyDescent="0.2">
      <c r="A61" s="18"/>
      <c r="B61" s="18"/>
      <c r="C61" s="18"/>
      <c r="D61" s="27"/>
      <c r="E61" s="4">
        <v>1</v>
      </c>
      <c r="F61" s="4">
        <v>1</v>
      </c>
      <c r="G61" s="4">
        <v>1</v>
      </c>
      <c r="H61" s="4">
        <v>1</v>
      </c>
      <c r="I61" s="4">
        <v>1</v>
      </c>
      <c r="J61" s="4">
        <v>1</v>
      </c>
      <c r="K61" s="4">
        <v>1</v>
      </c>
      <c r="L61" s="4">
        <v>1</v>
      </c>
      <c r="M61" s="4">
        <v>1</v>
      </c>
      <c r="N61" s="4">
        <v>1</v>
      </c>
      <c r="O61" s="4">
        <v>1</v>
      </c>
      <c r="P61" s="4">
        <v>1</v>
      </c>
      <c r="Q61" s="4">
        <v>1</v>
      </c>
      <c r="R61" s="4">
        <v>1</v>
      </c>
      <c r="S61" s="4">
        <v>1</v>
      </c>
      <c r="T61" s="4">
        <v>1</v>
      </c>
      <c r="U61" s="4">
        <v>1</v>
      </c>
      <c r="V61" s="4">
        <v>1</v>
      </c>
      <c r="W61" s="4">
        <v>1</v>
      </c>
      <c r="X61" s="4">
        <v>1</v>
      </c>
      <c r="Y61" s="4">
        <v>1</v>
      </c>
      <c r="Z61" s="4">
        <v>1</v>
      </c>
      <c r="AA61" s="4">
        <v>1</v>
      </c>
      <c r="AB61" s="4">
        <v>1</v>
      </c>
      <c r="AC61" s="4">
        <v>1</v>
      </c>
      <c r="AD61" s="4">
        <v>1</v>
      </c>
      <c r="AE61" s="4">
        <v>1</v>
      </c>
      <c r="AF61" s="4">
        <v>1</v>
      </c>
      <c r="AG61" s="4">
        <v>1</v>
      </c>
      <c r="AH61" s="4">
        <v>1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0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  <c r="BG61" s="4">
        <v>0</v>
      </c>
      <c r="BH61" s="4">
        <v>0</v>
      </c>
      <c r="BI61" s="4">
        <v>0</v>
      </c>
      <c r="BJ61" s="4">
        <v>0</v>
      </c>
      <c r="BK61" s="4">
        <v>0</v>
      </c>
      <c r="BL61" s="7">
        <v>0</v>
      </c>
      <c r="BM61" s="5"/>
      <c r="BN61" s="5">
        <f>SUM(SUMPRODUCT($AI$4:$BL$4,E61:AH61), AI61:BL61)</f>
        <v>5</v>
      </c>
      <c r="BO61" s="11" t="s">
        <v>95</v>
      </c>
      <c r="BP61" s="16">
        <v>5</v>
      </c>
    </row>
    <row r="62" spans="1:68" ht="16" customHeight="1" x14ac:dyDescent="0.2">
      <c r="A62" s="18"/>
      <c r="B62" s="18"/>
      <c r="C62" s="18"/>
      <c r="D62" s="45" t="s">
        <v>89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>
        <v>0</v>
      </c>
      <c r="AJ62" s="5">
        <v>1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/>
      <c r="BN62" s="5">
        <f>SUMPRODUCT($AI$4:$BL$4,AI62:BL62)</f>
        <v>1</v>
      </c>
      <c r="BO62" s="9" t="s">
        <v>95</v>
      </c>
      <c r="BP62" s="14">
        <v>1</v>
      </c>
    </row>
    <row r="63" spans="1:68" x14ac:dyDescent="0.2">
      <c r="A63" s="18"/>
      <c r="B63" s="18"/>
      <c r="C63" s="18"/>
      <c r="D63" s="4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>
        <v>0</v>
      </c>
      <c r="AJ63" s="5">
        <v>0</v>
      </c>
      <c r="AK63" s="5">
        <v>0</v>
      </c>
      <c r="AL63" s="5">
        <v>0</v>
      </c>
      <c r="AM63" s="5">
        <v>1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/>
      <c r="BN63" s="5">
        <f>SUMPRODUCT($AI$4:$BL$4,AI63:BL63)</f>
        <v>1</v>
      </c>
      <c r="BO63" s="9" t="s">
        <v>95</v>
      </c>
      <c r="BP63" s="14">
        <v>1</v>
      </c>
    </row>
    <row r="64" spans="1:68" x14ac:dyDescent="0.2">
      <c r="A64" s="18"/>
      <c r="B64" s="18"/>
      <c r="C64" s="18"/>
      <c r="D64" s="4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1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/>
      <c r="BN64" s="5">
        <f t="shared" ref="BN64:BN65" si="2">SUMPRODUCT($AI$4:$BL$4,AI64:BL64)</f>
        <v>1</v>
      </c>
      <c r="BO64" s="9" t="s">
        <v>95</v>
      </c>
      <c r="BP64" s="14">
        <v>1</v>
      </c>
    </row>
    <row r="65" spans="1:68" ht="17" thickBot="1" x14ac:dyDescent="0.25">
      <c r="A65" s="18"/>
      <c r="B65" s="18"/>
      <c r="C65" s="18"/>
      <c r="D65" s="46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>
        <v>0</v>
      </c>
      <c r="AJ65" s="22">
        <v>0</v>
      </c>
      <c r="AK65" s="22">
        <v>0</v>
      </c>
      <c r="AL65" s="22">
        <v>0</v>
      </c>
      <c r="AM65" s="22">
        <v>0</v>
      </c>
      <c r="AN65" s="22">
        <v>0</v>
      </c>
      <c r="AO65" s="22">
        <v>0</v>
      </c>
      <c r="AP65" s="22">
        <v>0</v>
      </c>
      <c r="AQ65" s="22">
        <v>0</v>
      </c>
      <c r="AR65" s="22">
        <v>0</v>
      </c>
      <c r="AS65" s="22">
        <v>0</v>
      </c>
      <c r="AT65" s="22">
        <v>0</v>
      </c>
      <c r="AU65" s="22">
        <v>0</v>
      </c>
      <c r="AV65" s="22">
        <v>0</v>
      </c>
      <c r="AW65" s="22">
        <v>0</v>
      </c>
      <c r="AX65" s="22">
        <v>0</v>
      </c>
      <c r="AY65" s="22">
        <v>0</v>
      </c>
      <c r="AZ65" s="22">
        <v>0</v>
      </c>
      <c r="BA65" s="22">
        <v>0</v>
      </c>
      <c r="BB65" s="22">
        <v>0</v>
      </c>
      <c r="BC65" s="22">
        <v>0</v>
      </c>
      <c r="BD65" s="22">
        <v>0</v>
      </c>
      <c r="BE65" s="22">
        <v>0</v>
      </c>
      <c r="BF65" s="22">
        <v>0</v>
      </c>
      <c r="BG65" s="22">
        <v>0</v>
      </c>
      <c r="BH65" s="22">
        <v>1</v>
      </c>
      <c r="BI65" s="22">
        <v>0</v>
      </c>
      <c r="BJ65" s="22">
        <v>0</v>
      </c>
      <c r="BK65" s="22">
        <v>0</v>
      </c>
      <c r="BL65" s="22">
        <v>0</v>
      </c>
      <c r="BM65" s="22"/>
      <c r="BN65" s="22">
        <f t="shared" si="2"/>
        <v>1</v>
      </c>
      <c r="BO65" s="12" t="s">
        <v>95</v>
      </c>
      <c r="BP65" s="17">
        <v>1</v>
      </c>
    </row>
  </sheetData>
  <scenarios current="0">
    <scenario name="solver 1" count="30" user="Muhammad Ahmed Ehtisham" comment="Created by Muhammad Ahmed Ehtisham on 12/5/2021">
      <inputCells r="AI4" val="0"/>
      <inputCells r="AJ4" val="1"/>
      <inputCells r="AK4" val="0"/>
      <inputCells r="AL4" val="0"/>
      <inputCells r="AM4" val="1"/>
      <inputCells r="AN4" val="0"/>
      <inputCells r="AO4" val="0"/>
      <inputCells r="AP4" val="1"/>
      <inputCells r="AQ4" val="0"/>
      <inputCells r="AR4" val="0"/>
      <inputCells r="AS4" val="1"/>
      <inputCells r="AT4" val="0"/>
      <inputCells r="AU4" val="0"/>
      <inputCells r="AV4" val="0"/>
      <inputCells r="AW4" val="0"/>
      <inputCells r="AX4" val="0"/>
      <inputCells r="AY4" val="0"/>
      <inputCells r="AZ4" val="0"/>
      <inputCells r="BA4" val="0"/>
      <inputCells r="BB4" val="0"/>
      <inputCells r="BC4" val="1"/>
      <inputCells r="BD4" val="0"/>
      <inputCells r="BE4" val="0"/>
      <inputCells r="BF4" val="0"/>
      <inputCells r="BG4" val="0"/>
      <inputCells r="BH4" val="1"/>
      <inputCells r="BI4" val="0"/>
      <inputCells r="BJ4" val="0"/>
      <inputCells r="BK4" val="0"/>
      <inputCells r="BL4" val="1"/>
    </scenario>
    <scenario name="hh" count="30" user="Muhammad Ahmed Ehtisham" comment="Created by Muhammad Ahmed Ehtisham on 12/5/2021">
      <inputCells r="AI4" val="0"/>
      <inputCells r="AJ4" val="1"/>
      <inputCells r="AK4" val="0"/>
      <inputCells r="AL4" val="0"/>
      <inputCells r="AM4" val="1"/>
      <inputCells r="AN4" val="-9.99999999999265E-07"/>
      <inputCells r="AO4" val="6.66666666740682E-07"/>
      <inputCells r="AP4" val="0"/>
      <inputCells r="AQ4" val="3.33333333370341E-07"/>
      <inputCells r="AR4" val="0"/>
      <inputCells r="AS4" val="1"/>
      <inputCells r="AT4" val="0"/>
      <inputCells r="AU4" val="0"/>
      <inputCells r="AV4" val="0"/>
      <inputCells r="AW4" val="0"/>
      <inputCells r="AX4" val="0"/>
      <inputCells r="AY4" val="0"/>
      <inputCells r="AZ4" val="0"/>
      <inputCells r="BA4" val="0"/>
      <inputCells r="BB4" val="0"/>
      <inputCells r="BC4" val="0"/>
      <inputCells r="BD4" val="0"/>
      <inputCells r="BE4" val="0"/>
      <inputCells r="BF4" val="0"/>
      <inputCells r="BG4" val="0"/>
      <inputCells r="BH4" val="1"/>
      <inputCells r="BI4" val="0"/>
      <inputCells r="BJ4" val="0"/>
      <inputCells r="BK4" val="1"/>
      <inputCells r="BL4" val="0"/>
    </scenario>
  </scenarios>
  <mergeCells count="3">
    <mergeCell ref="D31:D60"/>
    <mergeCell ref="D62:D65"/>
    <mergeCell ref="A9:B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2EF5C-04CD-5549-B953-D649E8B0007F}">
  <dimension ref="A1:CD65"/>
  <sheetViews>
    <sheetView topLeftCell="AE1" zoomScaleNormal="55" workbookViewId="0">
      <selection activeCell="AO4" sqref="AO4"/>
    </sheetView>
  </sheetViews>
  <sheetFormatPr baseColWidth="10" defaultColWidth="11.1640625" defaultRowHeight="16" x14ac:dyDescent="0.2"/>
  <cols>
    <col min="3" max="3" width="47.33203125" bestFit="1" customWidth="1"/>
    <col min="65" max="65" width="13.6640625" bestFit="1" customWidth="1"/>
    <col min="66" max="66" width="13" bestFit="1" customWidth="1"/>
  </cols>
  <sheetData>
    <row r="1" spans="1:82" ht="17" thickBot="1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 t="s">
        <v>0</v>
      </c>
      <c r="AI1" s="18" t="s">
        <v>1</v>
      </c>
      <c r="AJ1" s="18" t="s">
        <v>2</v>
      </c>
      <c r="AK1" s="18" t="s">
        <v>3</v>
      </c>
      <c r="AL1" s="18" t="s">
        <v>4</v>
      </c>
      <c r="AM1" s="18" t="s">
        <v>5</v>
      </c>
      <c r="AN1" s="18" t="s">
        <v>6</v>
      </c>
      <c r="AO1" s="18" t="s">
        <v>7</v>
      </c>
      <c r="AP1" s="18" t="s">
        <v>8</v>
      </c>
      <c r="AQ1" s="18" t="s">
        <v>9</v>
      </c>
      <c r="AR1" s="18" t="s">
        <v>10</v>
      </c>
      <c r="AS1" s="18" t="s">
        <v>11</v>
      </c>
      <c r="AT1" s="18" t="s">
        <v>91</v>
      </c>
      <c r="AU1" s="18" t="s">
        <v>12</v>
      </c>
      <c r="AV1" s="18" t="s">
        <v>13</v>
      </c>
      <c r="AW1" s="18" t="s">
        <v>14</v>
      </c>
      <c r="AX1" s="18" t="s">
        <v>15</v>
      </c>
      <c r="AY1" s="18" t="s">
        <v>16</v>
      </c>
      <c r="AZ1" s="18" t="s">
        <v>17</v>
      </c>
      <c r="BA1" s="18" t="s">
        <v>18</v>
      </c>
      <c r="BB1" s="18" t="s">
        <v>19</v>
      </c>
      <c r="BC1" s="18" t="s">
        <v>20</v>
      </c>
      <c r="BD1" s="18" t="s">
        <v>21</v>
      </c>
      <c r="BE1" s="18" t="s">
        <v>27</v>
      </c>
      <c r="BF1" s="18" t="s">
        <v>22</v>
      </c>
      <c r="BG1" s="18" t="s">
        <v>23</v>
      </c>
      <c r="BH1" s="18" t="s">
        <v>24</v>
      </c>
      <c r="BI1" s="18" t="s">
        <v>25</v>
      </c>
      <c r="BJ1" s="18" t="s">
        <v>26</v>
      </c>
      <c r="BK1" s="18" t="s">
        <v>92</v>
      </c>
      <c r="BL1" s="18"/>
      <c r="BM1" s="18" t="s">
        <v>116</v>
      </c>
      <c r="BN1" s="18" t="s">
        <v>117</v>
      </c>
      <c r="BO1" s="18"/>
    </row>
    <row r="2" spans="1:82" ht="17" thickBot="1" x14ac:dyDescent="0.25">
      <c r="A2" s="18"/>
      <c r="B2" s="18"/>
      <c r="C2" s="23"/>
      <c r="D2" s="24" t="s">
        <v>28</v>
      </c>
      <c r="E2" s="24" t="s">
        <v>29</v>
      </c>
      <c r="F2" s="24" t="s">
        <v>30</v>
      </c>
      <c r="G2" s="24" t="s">
        <v>31</v>
      </c>
      <c r="H2" s="24" t="s">
        <v>32</v>
      </c>
      <c r="I2" s="24" t="s">
        <v>33</v>
      </c>
      <c r="J2" s="24" t="s">
        <v>34</v>
      </c>
      <c r="K2" s="24" t="s">
        <v>35</v>
      </c>
      <c r="L2" s="24" t="s">
        <v>36</v>
      </c>
      <c r="M2" s="24" t="s">
        <v>37</v>
      </c>
      <c r="N2" s="24" t="s">
        <v>38</v>
      </c>
      <c r="O2" s="24" t="s">
        <v>39</v>
      </c>
      <c r="P2" s="24" t="s">
        <v>40</v>
      </c>
      <c r="Q2" s="24" t="s">
        <v>41</v>
      </c>
      <c r="R2" s="24" t="s">
        <v>42</v>
      </c>
      <c r="S2" s="24" t="s">
        <v>43</v>
      </c>
      <c r="T2" s="24" t="s">
        <v>44</v>
      </c>
      <c r="U2" s="24" t="s">
        <v>45</v>
      </c>
      <c r="V2" s="24" t="s">
        <v>46</v>
      </c>
      <c r="W2" s="24" t="s">
        <v>47</v>
      </c>
      <c r="X2" s="24" t="s">
        <v>48</v>
      </c>
      <c r="Y2" s="24" t="s">
        <v>49</v>
      </c>
      <c r="Z2" s="24" t="s">
        <v>50</v>
      </c>
      <c r="AA2" s="24" t="s">
        <v>51</v>
      </c>
      <c r="AB2" s="24" t="s">
        <v>52</v>
      </c>
      <c r="AC2" s="24" t="s">
        <v>53</v>
      </c>
      <c r="AD2" s="24" t="s">
        <v>54</v>
      </c>
      <c r="AE2" s="24" t="s">
        <v>55</v>
      </c>
      <c r="AF2" s="24" t="s">
        <v>56</v>
      </c>
      <c r="AG2" s="24" t="s">
        <v>57</v>
      </c>
      <c r="AH2" s="24" t="s">
        <v>59</v>
      </c>
      <c r="AI2" s="24" t="s">
        <v>60</v>
      </c>
      <c r="AJ2" s="24" t="s">
        <v>61</v>
      </c>
      <c r="AK2" s="24" t="s">
        <v>62</v>
      </c>
      <c r="AL2" s="24" t="s">
        <v>63</v>
      </c>
      <c r="AM2" s="24" t="s">
        <v>64</v>
      </c>
      <c r="AN2" s="24" t="s">
        <v>65</v>
      </c>
      <c r="AO2" s="24" t="s">
        <v>66</v>
      </c>
      <c r="AP2" s="24" t="s">
        <v>67</v>
      </c>
      <c r="AQ2" s="24" t="s">
        <v>68</v>
      </c>
      <c r="AR2" s="24" t="s">
        <v>69</v>
      </c>
      <c r="AS2" s="24" t="s">
        <v>70</v>
      </c>
      <c r="AT2" s="24" t="s">
        <v>71</v>
      </c>
      <c r="AU2" s="24" t="s">
        <v>72</v>
      </c>
      <c r="AV2" s="24" t="s">
        <v>73</v>
      </c>
      <c r="AW2" s="24" t="s">
        <v>74</v>
      </c>
      <c r="AX2" s="24" t="s">
        <v>75</v>
      </c>
      <c r="AY2" s="24" t="s">
        <v>76</v>
      </c>
      <c r="AZ2" s="24" t="s">
        <v>77</v>
      </c>
      <c r="BA2" s="24" t="s">
        <v>78</v>
      </c>
      <c r="BB2" s="24" t="s">
        <v>79</v>
      </c>
      <c r="BC2" s="24" t="s">
        <v>80</v>
      </c>
      <c r="BD2" s="24" t="s">
        <v>81</v>
      </c>
      <c r="BE2" s="24" t="s">
        <v>82</v>
      </c>
      <c r="BF2" s="24" t="s">
        <v>83</v>
      </c>
      <c r="BG2" s="24" t="s">
        <v>84</v>
      </c>
      <c r="BH2" s="24" t="s">
        <v>85</v>
      </c>
      <c r="BI2" s="24" t="s">
        <v>86</v>
      </c>
      <c r="BJ2" s="24" t="s">
        <v>87</v>
      </c>
      <c r="BK2" s="24" t="s">
        <v>88</v>
      </c>
      <c r="BL2" s="24"/>
      <c r="BM2" s="24" t="s">
        <v>115</v>
      </c>
      <c r="BN2" s="24" t="s">
        <v>118</v>
      </c>
      <c r="BO2" s="25"/>
    </row>
    <row r="3" spans="1:82" ht="17" thickBot="1" x14ac:dyDescent="0.25">
      <c r="A3" s="18"/>
      <c r="B3" s="18"/>
      <c r="C3" s="29" t="s">
        <v>58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19">
        <v>64.25</v>
      </c>
      <c r="AI3" s="19">
        <v>0</v>
      </c>
      <c r="AJ3" s="19">
        <v>30.25</v>
      </c>
      <c r="AK3" s="19">
        <v>30.25</v>
      </c>
      <c r="AL3" s="19">
        <v>0</v>
      </c>
      <c r="AM3" s="19">
        <v>47</v>
      </c>
      <c r="AN3" s="19">
        <v>64.25</v>
      </c>
      <c r="AO3" s="19">
        <v>67.75</v>
      </c>
      <c r="AP3" s="19">
        <v>43.5</v>
      </c>
      <c r="AQ3" s="19">
        <v>33.25</v>
      </c>
      <c r="AR3" s="19">
        <v>0</v>
      </c>
      <c r="AS3" s="19">
        <v>51.5</v>
      </c>
      <c r="AT3" s="19">
        <v>64.25</v>
      </c>
      <c r="AU3" s="19">
        <v>67.75</v>
      </c>
      <c r="AV3" s="19">
        <v>25.5</v>
      </c>
      <c r="AW3" s="19">
        <v>0</v>
      </c>
      <c r="AX3" s="19">
        <v>0</v>
      </c>
      <c r="AY3" s="19">
        <v>51.5</v>
      </c>
      <c r="AZ3" s="19">
        <v>0</v>
      </c>
      <c r="BA3" s="19">
        <v>0</v>
      </c>
      <c r="BB3" s="19">
        <v>29</v>
      </c>
      <c r="BC3" s="19">
        <v>21.25</v>
      </c>
      <c r="BD3" s="19">
        <v>61.5</v>
      </c>
      <c r="BE3" s="19">
        <v>61.5</v>
      </c>
      <c r="BF3" s="19">
        <v>0</v>
      </c>
      <c r="BG3" s="19">
        <v>0</v>
      </c>
      <c r="BH3" s="19">
        <v>21.25</v>
      </c>
      <c r="BI3" s="19">
        <v>21.25</v>
      </c>
      <c r="BJ3" s="19">
        <v>40.75</v>
      </c>
      <c r="BK3" s="19">
        <v>61.5</v>
      </c>
      <c r="BL3" s="5"/>
      <c r="BM3" s="42">
        <f>SUMPRODUCT(AH3:BK3,AH4:BK4)</f>
        <v>224.25</v>
      </c>
      <c r="BN3" s="5">
        <f>SUM((AH4:BK4))</f>
        <v>5</v>
      </c>
      <c r="BO3" s="20"/>
    </row>
    <row r="4" spans="1:82" ht="17" thickBot="1" x14ac:dyDescent="0.25">
      <c r="A4" s="18"/>
      <c r="B4" s="18"/>
      <c r="C4" s="28" t="s">
        <v>93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1</v>
      </c>
      <c r="AP4" s="5">
        <v>1</v>
      </c>
      <c r="AQ4" s="5">
        <v>0</v>
      </c>
      <c r="AR4" s="5">
        <v>0</v>
      </c>
      <c r="AS4" s="5">
        <v>1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1</v>
      </c>
      <c r="BB4" s="5">
        <v>0</v>
      </c>
      <c r="BC4" s="5">
        <v>0</v>
      </c>
      <c r="BD4" s="5">
        <v>1</v>
      </c>
      <c r="BE4" s="5">
        <v>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/>
      <c r="BM4" s="5"/>
      <c r="BN4" s="5"/>
      <c r="BO4" s="20"/>
    </row>
    <row r="5" spans="1:82" x14ac:dyDescent="0.2">
      <c r="A5" s="18"/>
      <c r="B5" s="18"/>
      <c r="C5" s="9"/>
      <c r="D5" s="5">
        <v>1</v>
      </c>
      <c r="E5" s="5">
        <v>1</v>
      </c>
      <c r="F5" s="5">
        <v>0</v>
      </c>
      <c r="G5" s="5">
        <v>0</v>
      </c>
      <c r="H5" s="5">
        <v>1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1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1</v>
      </c>
      <c r="AD5" s="5">
        <v>0</v>
      </c>
      <c r="AE5" s="5">
        <v>0</v>
      </c>
      <c r="AF5" s="5">
        <v>0</v>
      </c>
      <c r="AG5" s="5">
        <v>0</v>
      </c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>
        <f>SUM(D5:AG5)</f>
        <v>5</v>
      </c>
      <c r="BN5" s="8" t="s">
        <v>95</v>
      </c>
      <c r="BO5" s="13">
        <v>5</v>
      </c>
      <c r="BQ5" s="30" t="s">
        <v>120</v>
      </c>
      <c r="BR5" s="31"/>
      <c r="BS5" s="31"/>
      <c r="BT5" s="31"/>
      <c r="BU5" s="31"/>
      <c r="BV5" s="31"/>
      <c r="BW5" s="32"/>
      <c r="BX5" s="32"/>
      <c r="BY5" s="32"/>
      <c r="BZ5" s="32"/>
      <c r="CA5" s="32"/>
      <c r="CB5" s="32"/>
      <c r="CC5" s="32"/>
      <c r="CD5" s="33"/>
    </row>
    <row r="6" spans="1:82" x14ac:dyDescent="0.2">
      <c r="A6" s="18"/>
      <c r="B6" s="18"/>
      <c r="C6" s="9"/>
      <c r="D6" s="5">
        <v>0</v>
      </c>
      <c r="E6" s="5">
        <v>1</v>
      </c>
      <c r="F6" s="5">
        <v>1</v>
      </c>
      <c r="G6" s="5">
        <v>0</v>
      </c>
      <c r="H6" s="5">
        <v>1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1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1</v>
      </c>
      <c r="AD6" s="5">
        <v>0</v>
      </c>
      <c r="AE6" s="5">
        <v>0</v>
      </c>
      <c r="AF6" s="5">
        <v>0</v>
      </c>
      <c r="AG6" s="5">
        <v>0</v>
      </c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>
        <f t="shared" ref="BM6:BM30" si="0">SUM(D6:AG6)</f>
        <v>5</v>
      </c>
      <c r="BN6" s="9" t="s">
        <v>94</v>
      </c>
      <c r="BO6" s="14">
        <v>5</v>
      </c>
      <c r="BQ6" s="34" t="s">
        <v>121</v>
      </c>
      <c r="BR6" s="35"/>
      <c r="BS6" s="35"/>
      <c r="BT6" s="35"/>
      <c r="BU6" s="35"/>
      <c r="BV6" s="35"/>
      <c r="BW6" s="36"/>
      <c r="BX6" s="36"/>
      <c r="BY6" s="36"/>
      <c r="BZ6" s="36"/>
      <c r="CA6" s="36"/>
      <c r="CB6" s="36"/>
      <c r="CC6" s="36"/>
      <c r="CD6" s="37"/>
    </row>
    <row r="7" spans="1:82" ht="17" thickBot="1" x14ac:dyDescent="0.25">
      <c r="A7" s="18"/>
      <c r="B7" s="18"/>
      <c r="C7" s="9"/>
      <c r="D7" s="5">
        <v>0</v>
      </c>
      <c r="E7" s="5">
        <v>1</v>
      </c>
      <c r="F7" s="5">
        <v>0</v>
      </c>
      <c r="G7" s="5">
        <v>1</v>
      </c>
      <c r="H7" s="5">
        <v>1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1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1</v>
      </c>
      <c r="AD7" s="5">
        <v>0</v>
      </c>
      <c r="AE7" s="5">
        <v>0</v>
      </c>
      <c r="AF7" s="5">
        <v>0</v>
      </c>
      <c r="AG7" s="5">
        <v>0</v>
      </c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>
        <f t="shared" si="0"/>
        <v>5</v>
      </c>
      <c r="BN7" s="9" t="s">
        <v>95</v>
      </c>
      <c r="BO7" s="14">
        <v>5</v>
      </c>
      <c r="BQ7" s="38" t="s">
        <v>119</v>
      </c>
      <c r="BR7" s="39"/>
      <c r="BS7" s="39"/>
      <c r="BT7" s="39"/>
      <c r="BU7" s="39"/>
      <c r="BV7" s="39"/>
      <c r="BW7" s="40"/>
      <c r="BX7" s="40"/>
      <c r="BY7" s="40"/>
      <c r="BZ7" s="40"/>
      <c r="CA7" s="40"/>
      <c r="CB7" s="40"/>
      <c r="CC7" s="40"/>
      <c r="CD7" s="41"/>
    </row>
    <row r="8" spans="1:82" x14ac:dyDescent="0.2">
      <c r="A8" s="18"/>
      <c r="B8" s="18"/>
      <c r="C8" s="9"/>
      <c r="D8" s="5">
        <v>0</v>
      </c>
      <c r="E8" s="5">
        <v>1</v>
      </c>
      <c r="F8" s="5">
        <v>0</v>
      </c>
      <c r="G8" s="5">
        <v>0</v>
      </c>
      <c r="H8" s="5">
        <v>1</v>
      </c>
      <c r="I8" s="5">
        <v>1</v>
      </c>
      <c r="J8" s="5">
        <v>0</v>
      </c>
      <c r="K8" s="5">
        <v>0</v>
      </c>
      <c r="L8" s="5">
        <v>0</v>
      </c>
      <c r="M8" s="5">
        <v>0</v>
      </c>
      <c r="N8" s="5">
        <v>1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0</v>
      </c>
      <c r="AE8" s="5">
        <v>0</v>
      </c>
      <c r="AF8" s="5">
        <v>0</v>
      </c>
      <c r="AG8" s="5">
        <v>0</v>
      </c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>
        <f t="shared" si="0"/>
        <v>5</v>
      </c>
      <c r="BN8" s="9" t="s">
        <v>94</v>
      </c>
      <c r="BO8" s="14">
        <v>5</v>
      </c>
    </row>
    <row r="9" spans="1:82" x14ac:dyDescent="0.2">
      <c r="A9" s="18"/>
      <c r="B9" s="18"/>
      <c r="C9" s="9"/>
      <c r="D9" s="5">
        <v>0</v>
      </c>
      <c r="E9" s="5">
        <v>1</v>
      </c>
      <c r="F9" s="5">
        <v>0</v>
      </c>
      <c r="G9" s="5">
        <v>0</v>
      </c>
      <c r="H9" s="5">
        <v>1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0</v>
      </c>
      <c r="AF9" s="5">
        <v>0</v>
      </c>
      <c r="AG9" s="5">
        <v>0</v>
      </c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>
        <f t="shared" si="0"/>
        <v>5</v>
      </c>
      <c r="BN9" s="9" t="s">
        <v>95</v>
      </c>
      <c r="BO9" s="14">
        <v>5</v>
      </c>
    </row>
    <row r="10" spans="1:82" x14ac:dyDescent="0.2">
      <c r="A10" s="18"/>
      <c r="B10" s="18"/>
      <c r="C10" s="9"/>
      <c r="D10" s="5">
        <v>0</v>
      </c>
      <c r="E10" s="5">
        <v>1</v>
      </c>
      <c r="F10" s="5">
        <v>0</v>
      </c>
      <c r="G10" s="5">
        <v>0</v>
      </c>
      <c r="H10" s="5">
        <v>1</v>
      </c>
      <c r="I10" s="5">
        <v>0</v>
      </c>
      <c r="J10" s="5">
        <v>0</v>
      </c>
      <c r="K10" s="5">
        <v>1</v>
      </c>
      <c r="L10" s="5">
        <v>0</v>
      </c>
      <c r="M10" s="5">
        <v>0</v>
      </c>
      <c r="N10" s="5">
        <v>1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0</v>
      </c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>
        <f t="shared" si="0"/>
        <v>5</v>
      </c>
      <c r="BN10" s="9" t="s">
        <v>94</v>
      </c>
      <c r="BO10" s="14">
        <v>5</v>
      </c>
    </row>
    <row r="11" spans="1:82" x14ac:dyDescent="0.2">
      <c r="A11" s="18"/>
      <c r="B11" s="18"/>
      <c r="C11" s="9"/>
      <c r="D11" s="5">
        <v>0</v>
      </c>
      <c r="E11" s="5">
        <v>1</v>
      </c>
      <c r="F11" s="5">
        <v>0</v>
      </c>
      <c r="G11" s="5">
        <v>0</v>
      </c>
      <c r="H11" s="5">
        <v>1</v>
      </c>
      <c r="I11" s="5">
        <v>0</v>
      </c>
      <c r="J11" s="5">
        <v>0</v>
      </c>
      <c r="K11" s="5">
        <v>0</v>
      </c>
      <c r="L11" s="5">
        <v>1</v>
      </c>
      <c r="M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0</v>
      </c>
      <c r="AG11" s="5">
        <v>0</v>
      </c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>
        <f>SUM(D11:AG11)</f>
        <v>5</v>
      </c>
      <c r="BN11" s="9" t="s">
        <v>95</v>
      </c>
      <c r="BO11" s="14">
        <v>5</v>
      </c>
    </row>
    <row r="12" spans="1:82" x14ac:dyDescent="0.2">
      <c r="A12" s="18"/>
      <c r="B12" s="18"/>
      <c r="C12" s="9"/>
      <c r="D12" s="5">
        <v>0</v>
      </c>
      <c r="E12" s="5">
        <v>1</v>
      </c>
      <c r="F12" s="5">
        <v>0</v>
      </c>
      <c r="G12" s="5">
        <v>0</v>
      </c>
      <c r="H12" s="5">
        <v>1</v>
      </c>
      <c r="I12" s="5">
        <v>0</v>
      </c>
      <c r="J12" s="5">
        <v>0</v>
      </c>
      <c r="K12" s="5">
        <v>0</v>
      </c>
      <c r="L12" s="5">
        <v>0</v>
      </c>
      <c r="M12" s="5">
        <v>1</v>
      </c>
      <c r="N12" s="5">
        <v>1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>
        <f t="shared" si="0"/>
        <v>5</v>
      </c>
      <c r="BN12" s="9" t="s">
        <v>94</v>
      </c>
      <c r="BO12" s="14">
        <v>5</v>
      </c>
    </row>
    <row r="13" spans="1:82" x14ac:dyDescent="0.2">
      <c r="A13" s="18"/>
      <c r="B13" s="18"/>
      <c r="C13" s="9"/>
      <c r="D13" s="5">
        <v>0</v>
      </c>
      <c r="E13" s="5">
        <v>1</v>
      </c>
      <c r="F13" s="5">
        <v>0</v>
      </c>
      <c r="G13" s="5">
        <v>0</v>
      </c>
      <c r="H13" s="5">
        <v>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1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0</v>
      </c>
      <c r="AG13" s="5">
        <v>0</v>
      </c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>
        <f t="shared" si="0"/>
        <v>5</v>
      </c>
      <c r="BN13" s="9" t="s">
        <v>95</v>
      </c>
      <c r="BO13" s="14">
        <v>5</v>
      </c>
    </row>
    <row r="14" spans="1:82" x14ac:dyDescent="0.2">
      <c r="A14" s="18"/>
      <c r="B14" s="18"/>
      <c r="C14" s="9"/>
      <c r="D14" s="5">
        <v>0</v>
      </c>
      <c r="E14" s="5">
        <v>1</v>
      </c>
      <c r="F14" s="5">
        <v>0</v>
      </c>
      <c r="G14" s="5">
        <v>0</v>
      </c>
      <c r="H14" s="5">
        <v>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</v>
      </c>
      <c r="O14" s="5">
        <v>0</v>
      </c>
      <c r="P14" s="5">
        <v>1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0</v>
      </c>
      <c r="AG14" s="5">
        <v>0</v>
      </c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>
        <f t="shared" si="0"/>
        <v>5</v>
      </c>
      <c r="BN14" s="9" t="s">
        <v>94</v>
      </c>
      <c r="BO14" s="14">
        <v>5</v>
      </c>
    </row>
    <row r="15" spans="1:82" x14ac:dyDescent="0.2">
      <c r="A15" s="18"/>
      <c r="B15" s="18"/>
      <c r="C15" s="9"/>
      <c r="D15" s="5">
        <v>0</v>
      </c>
      <c r="E15" s="5">
        <v>1</v>
      </c>
      <c r="F15" s="5">
        <v>0</v>
      </c>
      <c r="G15" s="5">
        <v>0</v>
      </c>
      <c r="H15" s="5">
        <v>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0</v>
      </c>
      <c r="AE15" s="5">
        <v>0</v>
      </c>
      <c r="AF15" s="5">
        <v>0</v>
      </c>
      <c r="AG15" s="5">
        <v>0</v>
      </c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>
        <f t="shared" si="0"/>
        <v>5</v>
      </c>
      <c r="BN15" s="9" t="s">
        <v>95</v>
      </c>
      <c r="BO15" s="14">
        <v>5</v>
      </c>
    </row>
    <row r="16" spans="1:82" x14ac:dyDescent="0.2">
      <c r="A16" s="18"/>
      <c r="B16" s="18"/>
      <c r="C16" s="9"/>
      <c r="D16" s="5">
        <v>0</v>
      </c>
      <c r="E16" s="5">
        <v>1</v>
      </c>
      <c r="F16" s="5">
        <v>0</v>
      </c>
      <c r="G16" s="5">
        <v>0</v>
      </c>
      <c r="H16" s="5">
        <v>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0</v>
      </c>
      <c r="Q16" s="5">
        <v>0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</v>
      </c>
      <c r="AD16" s="5">
        <v>0</v>
      </c>
      <c r="AE16" s="5">
        <v>0</v>
      </c>
      <c r="AF16" s="5">
        <v>0</v>
      </c>
      <c r="AG16" s="5">
        <v>0</v>
      </c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>
        <f t="shared" si="0"/>
        <v>5</v>
      </c>
      <c r="BN16" s="9" t="s">
        <v>94</v>
      </c>
      <c r="BO16" s="14">
        <v>5</v>
      </c>
    </row>
    <row r="17" spans="1:67" x14ac:dyDescent="0.2">
      <c r="A17" s="18"/>
      <c r="B17" s="18"/>
      <c r="C17" s="9"/>
      <c r="D17" s="5">
        <v>0</v>
      </c>
      <c r="E17" s="5">
        <v>1</v>
      </c>
      <c r="F17" s="5">
        <v>0</v>
      </c>
      <c r="G17" s="5">
        <v>0</v>
      </c>
      <c r="H17" s="5">
        <v>1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0</v>
      </c>
      <c r="AE17" s="5">
        <v>0</v>
      </c>
      <c r="AF17" s="5">
        <v>0</v>
      </c>
      <c r="AG17" s="5">
        <v>0</v>
      </c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>
        <f t="shared" si="0"/>
        <v>5</v>
      </c>
      <c r="BN17" s="9" t="s">
        <v>95</v>
      </c>
      <c r="BO17" s="14">
        <v>5</v>
      </c>
    </row>
    <row r="18" spans="1:67" x14ac:dyDescent="0.2">
      <c r="A18" s="18"/>
      <c r="B18" s="18"/>
      <c r="C18" s="9"/>
      <c r="D18" s="5">
        <v>0</v>
      </c>
      <c r="E18" s="5">
        <v>1</v>
      </c>
      <c r="F18" s="5">
        <v>0</v>
      </c>
      <c r="G18" s="5">
        <v>0</v>
      </c>
      <c r="H18" s="5">
        <v>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1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1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</v>
      </c>
      <c r="AD18" s="5">
        <v>0</v>
      </c>
      <c r="AE18" s="5">
        <v>0</v>
      </c>
      <c r="AF18" s="5">
        <v>0</v>
      </c>
      <c r="AG18" s="5">
        <v>0</v>
      </c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>
        <f t="shared" si="0"/>
        <v>5</v>
      </c>
      <c r="BN18" s="9" t="s">
        <v>94</v>
      </c>
      <c r="BO18" s="14">
        <v>5</v>
      </c>
    </row>
    <row r="19" spans="1:67" x14ac:dyDescent="0.2">
      <c r="A19" s="18"/>
      <c r="B19" s="18"/>
      <c r="C19" s="9"/>
      <c r="D19" s="5">
        <v>0</v>
      </c>
      <c r="E19" s="5">
        <v>1</v>
      </c>
      <c r="F19" s="5">
        <v>0</v>
      </c>
      <c r="G19" s="5">
        <v>0</v>
      </c>
      <c r="H19" s="5">
        <v>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</v>
      </c>
      <c r="AD19" s="5">
        <v>0</v>
      </c>
      <c r="AE19" s="5">
        <v>0</v>
      </c>
      <c r="AF19" s="5">
        <v>0</v>
      </c>
      <c r="AG19" s="5">
        <v>0</v>
      </c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>
        <f t="shared" si="0"/>
        <v>5</v>
      </c>
      <c r="BN19" s="9" t="s">
        <v>95</v>
      </c>
      <c r="BO19" s="14">
        <v>5</v>
      </c>
    </row>
    <row r="20" spans="1:67" x14ac:dyDescent="0.2">
      <c r="A20" s="18"/>
      <c r="B20" s="18"/>
      <c r="C20" s="9"/>
      <c r="D20" s="5">
        <v>0</v>
      </c>
      <c r="E20" s="5">
        <v>1</v>
      </c>
      <c r="F20" s="5">
        <v>0</v>
      </c>
      <c r="G20" s="5">
        <v>0</v>
      </c>
      <c r="H20" s="5">
        <v>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1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</v>
      </c>
      <c r="AD20" s="5">
        <v>0</v>
      </c>
      <c r="AE20" s="5">
        <v>0</v>
      </c>
      <c r="AF20" s="5">
        <v>0</v>
      </c>
      <c r="AG20" s="5">
        <v>0</v>
      </c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>
        <f t="shared" si="0"/>
        <v>5</v>
      </c>
      <c r="BN20" s="9" t="s">
        <v>94</v>
      </c>
      <c r="BO20" s="14">
        <v>5</v>
      </c>
    </row>
    <row r="21" spans="1:67" x14ac:dyDescent="0.2">
      <c r="A21" s="18"/>
      <c r="B21" s="18"/>
      <c r="C21" s="9"/>
      <c r="D21" s="5">
        <v>0</v>
      </c>
      <c r="E21" s="5">
        <v>1</v>
      </c>
      <c r="F21" s="5">
        <v>0</v>
      </c>
      <c r="G21" s="5">
        <v>0</v>
      </c>
      <c r="H21" s="5">
        <v>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</v>
      </c>
      <c r="AD21" s="5">
        <v>0</v>
      </c>
      <c r="AE21" s="5">
        <v>0</v>
      </c>
      <c r="AF21" s="5">
        <v>0</v>
      </c>
      <c r="AG21" s="5">
        <v>0</v>
      </c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>
        <f t="shared" si="0"/>
        <v>5</v>
      </c>
      <c r="BN21" s="9" t="s">
        <v>95</v>
      </c>
      <c r="BO21" s="14">
        <v>5</v>
      </c>
    </row>
    <row r="22" spans="1:67" x14ac:dyDescent="0.2">
      <c r="A22" s="18"/>
      <c r="B22" s="18"/>
      <c r="C22" s="9"/>
      <c r="D22" s="5">
        <v>0</v>
      </c>
      <c r="E22" s="5">
        <v>1</v>
      </c>
      <c r="F22" s="5">
        <v>0</v>
      </c>
      <c r="G22" s="5">
        <v>0</v>
      </c>
      <c r="H22" s="5">
        <v>1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5">
        <v>0</v>
      </c>
      <c r="AC22" s="5">
        <v>1</v>
      </c>
      <c r="AD22" s="5">
        <v>0</v>
      </c>
      <c r="AE22" s="5">
        <v>0</v>
      </c>
      <c r="AF22" s="5">
        <v>0</v>
      </c>
      <c r="AG22" s="5">
        <v>0</v>
      </c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>
        <f t="shared" si="0"/>
        <v>5</v>
      </c>
      <c r="BN22" s="9" t="s">
        <v>94</v>
      </c>
      <c r="BO22" s="14">
        <v>5</v>
      </c>
    </row>
    <row r="23" spans="1:67" x14ac:dyDescent="0.2">
      <c r="A23" s="18"/>
      <c r="B23" s="18"/>
      <c r="C23" s="9"/>
      <c r="D23" s="5">
        <v>0</v>
      </c>
      <c r="E23" s="5">
        <v>1</v>
      </c>
      <c r="F23" s="5">
        <v>0</v>
      </c>
      <c r="G23" s="5">
        <v>0</v>
      </c>
      <c r="H23" s="5">
        <v>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1</v>
      </c>
      <c r="Z23" s="5">
        <v>0</v>
      </c>
      <c r="AA23" s="5">
        <v>0</v>
      </c>
      <c r="AB23" s="5">
        <v>0</v>
      </c>
      <c r="AC23" s="5">
        <v>1</v>
      </c>
      <c r="AD23" s="5">
        <v>0</v>
      </c>
      <c r="AE23" s="5">
        <v>0</v>
      </c>
      <c r="AF23" s="5">
        <v>0</v>
      </c>
      <c r="AG23" s="5">
        <v>0</v>
      </c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>
        <f t="shared" si="0"/>
        <v>5</v>
      </c>
      <c r="BN23" s="9" t="s">
        <v>95</v>
      </c>
      <c r="BO23" s="14">
        <v>5</v>
      </c>
    </row>
    <row r="24" spans="1:67" x14ac:dyDescent="0.2">
      <c r="A24" s="18"/>
      <c r="B24" s="18"/>
      <c r="C24" s="9"/>
      <c r="D24" s="5">
        <v>0</v>
      </c>
      <c r="E24" s="5">
        <v>1</v>
      </c>
      <c r="F24" s="5">
        <v>0</v>
      </c>
      <c r="G24" s="5">
        <v>0</v>
      </c>
      <c r="H24" s="5">
        <v>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1</v>
      </c>
      <c r="AA24" s="5">
        <v>0</v>
      </c>
      <c r="AB24" s="5">
        <v>0</v>
      </c>
      <c r="AC24" s="5">
        <v>1</v>
      </c>
      <c r="AD24" s="5">
        <v>0</v>
      </c>
      <c r="AE24" s="5">
        <v>0</v>
      </c>
      <c r="AF24" s="5">
        <v>0</v>
      </c>
      <c r="AG24" s="5">
        <v>0</v>
      </c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>
        <f t="shared" si="0"/>
        <v>5</v>
      </c>
      <c r="BN24" s="9" t="s">
        <v>94</v>
      </c>
      <c r="BO24" s="14">
        <v>5</v>
      </c>
    </row>
    <row r="25" spans="1:67" x14ac:dyDescent="0.2">
      <c r="A25" s="18"/>
      <c r="B25" s="18"/>
      <c r="C25" s="9"/>
      <c r="D25" s="5">
        <v>0</v>
      </c>
      <c r="E25" s="5">
        <v>1</v>
      </c>
      <c r="F25" s="5">
        <v>0</v>
      </c>
      <c r="G25" s="5">
        <v>0</v>
      </c>
      <c r="H25" s="5">
        <v>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1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1</v>
      </c>
      <c r="AB25" s="5">
        <v>0</v>
      </c>
      <c r="AC25" s="5">
        <v>1</v>
      </c>
      <c r="AD25" s="5">
        <v>0</v>
      </c>
      <c r="AE25" s="5">
        <v>0</v>
      </c>
      <c r="AF25" s="5">
        <v>0</v>
      </c>
      <c r="AG25" s="5">
        <v>0</v>
      </c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>
        <f t="shared" si="0"/>
        <v>5</v>
      </c>
      <c r="BN25" s="9" t="s">
        <v>95</v>
      </c>
      <c r="BO25" s="14">
        <v>5</v>
      </c>
    </row>
    <row r="26" spans="1:67" x14ac:dyDescent="0.2">
      <c r="A26" s="18"/>
      <c r="B26" s="18"/>
      <c r="C26" s="9"/>
      <c r="D26" s="5">
        <v>0</v>
      </c>
      <c r="E26" s="5">
        <v>1</v>
      </c>
      <c r="F26" s="5">
        <v>0</v>
      </c>
      <c r="G26" s="5">
        <v>0</v>
      </c>
      <c r="H26" s="5">
        <v>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1</v>
      </c>
      <c r="AC26" s="5">
        <v>1</v>
      </c>
      <c r="AD26" s="5">
        <v>0</v>
      </c>
      <c r="AE26" s="5">
        <v>0</v>
      </c>
      <c r="AF26" s="5">
        <v>0</v>
      </c>
      <c r="AG26" s="5">
        <v>0</v>
      </c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>
        <f t="shared" si="0"/>
        <v>5</v>
      </c>
      <c r="BN26" s="9" t="s">
        <v>94</v>
      </c>
      <c r="BO26" s="14">
        <v>5</v>
      </c>
    </row>
    <row r="27" spans="1:67" x14ac:dyDescent="0.2">
      <c r="A27" s="18"/>
      <c r="B27" s="18"/>
      <c r="C27" s="9"/>
      <c r="D27" s="5">
        <v>0</v>
      </c>
      <c r="E27" s="5">
        <v>1</v>
      </c>
      <c r="F27" s="5">
        <v>0</v>
      </c>
      <c r="G27" s="5">
        <v>0</v>
      </c>
      <c r="H27" s="5">
        <v>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5">
        <v>0</v>
      </c>
      <c r="AF27" s="5">
        <v>0</v>
      </c>
      <c r="AG27" s="5">
        <v>0</v>
      </c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>
        <f t="shared" si="0"/>
        <v>5</v>
      </c>
      <c r="BN27" s="9" t="s">
        <v>95</v>
      </c>
      <c r="BO27" s="14">
        <v>5</v>
      </c>
    </row>
    <row r="28" spans="1:67" x14ac:dyDescent="0.2">
      <c r="A28" s="18"/>
      <c r="B28" s="18"/>
      <c r="C28" s="9"/>
      <c r="D28" s="5">
        <v>0</v>
      </c>
      <c r="E28" s="5">
        <v>1</v>
      </c>
      <c r="F28" s="5">
        <v>0</v>
      </c>
      <c r="G28" s="5">
        <v>0</v>
      </c>
      <c r="H28" s="5">
        <v>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1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0</v>
      </c>
      <c r="AE28" s="5">
        <v>1</v>
      </c>
      <c r="AF28" s="5">
        <v>0</v>
      </c>
      <c r="AG28" s="5">
        <v>0</v>
      </c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>
        <f t="shared" si="0"/>
        <v>5</v>
      </c>
      <c r="BN28" s="9" t="s">
        <v>94</v>
      </c>
      <c r="BO28" s="14">
        <v>5</v>
      </c>
    </row>
    <row r="29" spans="1:67" x14ac:dyDescent="0.2">
      <c r="A29" s="18"/>
      <c r="B29" s="18"/>
      <c r="C29" s="9"/>
      <c r="D29" s="5">
        <v>0</v>
      </c>
      <c r="E29" s="5">
        <v>1</v>
      </c>
      <c r="F29" s="5">
        <v>0</v>
      </c>
      <c r="G29" s="5">
        <v>0</v>
      </c>
      <c r="H29" s="5">
        <v>1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1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0</v>
      </c>
      <c r="AF29" s="5">
        <v>1</v>
      </c>
      <c r="AG29" s="5">
        <v>0</v>
      </c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>
        <f t="shared" si="0"/>
        <v>5</v>
      </c>
      <c r="BN29" s="9" t="s">
        <v>95</v>
      </c>
      <c r="BO29" s="14">
        <v>5</v>
      </c>
    </row>
    <row r="30" spans="1:67" ht="17" thickBot="1" x14ac:dyDescent="0.25">
      <c r="A30" s="18"/>
      <c r="B30" s="18"/>
      <c r="C30" s="9"/>
      <c r="D30" s="4">
        <v>0</v>
      </c>
      <c r="E30" s="4">
        <v>1</v>
      </c>
      <c r="F30" s="4">
        <v>0</v>
      </c>
      <c r="G30" s="4">
        <v>0</v>
      </c>
      <c r="H30" s="4">
        <v>1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1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1</v>
      </c>
      <c r="AD30" s="4">
        <v>0</v>
      </c>
      <c r="AE30" s="4">
        <v>0</v>
      </c>
      <c r="AF30" s="4">
        <v>0</v>
      </c>
      <c r="AG30" s="4">
        <v>1</v>
      </c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5"/>
      <c r="BM30" s="5">
        <f t="shared" si="0"/>
        <v>5</v>
      </c>
      <c r="BN30" s="9" t="s">
        <v>94</v>
      </c>
      <c r="BO30" s="14">
        <v>5</v>
      </c>
    </row>
    <row r="31" spans="1:67" x14ac:dyDescent="0.2">
      <c r="A31" s="18"/>
      <c r="B31" s="18"/>
      <c r="C31" s="43" t="s">
        <v>90</v>
      </c>
      <c r="D31" s="21">
        <v>1</v>
      </c>
      <c r="E31" s="21">
        <v>1</v>
      </c>
      <c r="F31" s="21">
        <v>0</v>
      </c>
      <c r="G31" s="21">
        <v>0</v>
      </c>
      <c r="H31" s="21">
        <v>0</v>
      </c>
      <c r="I31" s="21">
        <v>0</v>
      </c>
      <c r="J31" s="21">
        <v>1</v>
      </c>
      <c r="K31" s="21">
        <v>1</v>
      </c>
      <c r="L31" s="21">
        <v>0</v>
      </c>
      <c r="M31" s="21">
        <v>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1">
        <v>0</v>
      </c>
      <c r="T31" s="21">
        <v>0</v>
      </c>
      <c r="U31" s="21">
        <v>0</v>
      </c>
      <c r="V31" s="21">
        <v>0</v>
      </c>
      <c r="W31" s="21">
        <v>0</v>
      </c>
      <c r="X31" s="21">
        <v>0</v>
      </c>
      <c r="Y31" s="21">
        <v>0</v>
      </c>
      <c r="Z31" s="21">
        <v>0</v>
      </c>
      <c r="AA31" s="21">
        <v>0</v>
      </c>
      <c r="AB31" s="21">
        <v>0</v>
      </c>
      <c r="AC31" s="21">
        <v>0</v>
      </c>
      <c r="AD31" s="21">
        <v>0</v>
      </c>
      <c r="AE31" s="21">
        <v>0</v>
      </c>
      <c r="AF31" s="21">
        <v>0</v>
      </c>
      <c r="AG31" s="21">
        <v>0</v>
      </c>
      <c r="AH31" s="21">
        <v>-1</v>
      </c>
      <c r="AI31" s="21">
        <v>0</v>
      </c>
      <c r="AJ31" s="21">
        <v>0</v>
      </c>
      <c r="AK31" s="21">
        <v>0</v>
      </c>
      <c r="AL31" s="21">
        <v>0</v>
      </c>
      <c r="AM31" s="21">
        <v>0</v>
      </c>
      <c r="AN31" s="21">
        <v>0</v>
      </c>
      <c r="AO31" s="21">
        <v>0</v>
      </c>
      <c r="AP31" s="21">
        <v>0</v>
      </c>
      <c r="AQ31" s="21">
        <v>0</v>
      </c>
      <c r="AR31" s="21">
        <v>0</v>
      </c>
      <c r="AS31" s="21">
        <v>0</v>
      </c>
      <c r="AT31" s="21">
        <v>0</v>
      </c>
      <c r="AU31" s="21">
        <v>0</v>
      </c>
      <c r="AV31" s="21">
        <v>0</v>
      </c>
      <c r="AW31" s="21">
        <v>0</v>
      </c>
      <c r="AX31" s="21">
        <v>0</v>
      </c>
      <c r="AY31" s="21">
        <v>0</v>
      </c>
      <c r="AZ31" s="21">
        <v>0</v>
      </c>
      <c r="BA31" s="21">
        <v>0</v>
      </c>
      <c r="BB31" s="21">
        <v>0</v>
      </c>
      <c r="BC31" s="21">
        <v>0</v>
      </c>
      <c r="BD31" s="21">
        <v>0</v>
      </c>
      <c r="BE31" s="21">
        <v>0</v>
      </c>
      <c r="BF31" s="21">
        <v>0</v>
      </c>
      <c r="BG31" s="21">
        <v>0</v>
      </c>
      <c r="BH31" s="21">
        <v>0</v>
      </c>
      <c r="BI31" s="21">
        <v>0</v>
      </c>
      <c r="BJ31" s="21">
        <v>0</v>
      </c>
      <c r="BK31" s="21">
        <v>0</v>
      </c>
      <c r="BL31" s="5"/>
      <c r="BM31" s="5">
        <f>SUM(SUMPRODUCT($AH$4:$BK$4,D31:AG31), AH31:BK31)</f>
        <v>0</v>
      </c>
      <c r="BN31" s="10" t="s">
        <v>100</v>
      </c>
      <c r="BO31" s="15">
        <v>0</v>
      </c>
    </row>
    <row r="32" spans="1:67" x14ac:dyDescent="0.2">
      <c r="A32" s="18"/>
      <c r="B32" s="18"/>
      <c r="C32" s="44"/>
      <c r="D32" s="5">
        <v>1</v>
      </c>
      <c r="E32" s="5">
        <v>1</v>
      </c>
      <c r="F32" s="5">
        <v>1</v>
      </c>
      <c r="G32" s="5">
        <v>0</v>
      </c>
      <c r="H32" s="5">
        <v>0</v>
      </c>
      <c r="I32" s="5">
        <v>0</v>
      </c>
      <c r="J32" s="5">
        <v>1</v>
      </c>
      <c r="K32" s="5">
        <v>1</v>
      </c>
      <c r="L32" s="5">
        <v>1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-1</v>
      </c>
      <c r="AJ32" s="21">
        <v>0</v>
      </c>
      <c r="AK32" s="21">
        <v>0</v>
      </c>
      <c r="AL32" s="21">
        <v>0</v>
      </c>
      <c r="AM32" s="21">
        <v>0</v>
      </c>
      <c r="AN32" s="21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1">
        <v>0</v>
      </c>
      <c r="AV32" s="21">
        <v>0</v>
      </c>
      <c r="AW32" s="21">
        <v>0</v>
      </c>
      <c r="AX32" s="21">
        <v>0</v>
      </c>
      <c r="AY32" s="21">
        <v>0</v>
      </c>
      <c r="AZ32" s="21">
        <v>0</v>
      </c>
      <c r="BA32" s="21">
        <v>0</v>
      </c>
      <c r="BB32" s="21">
        <v>0</v>
      </c>
      <c r="BC32" s="21">
        <v>0</v>
      </c>
      <c r="BD32" s="21">
        <v>0</v>
      </c>
      <c r="BE32" s="21">
        <v>0</v>
      </c>
      <c r="BF32" s="21">
        <v>0</v>
      </c>
      <c r="BG32" s="21">
        <v>0</v>
      </c>
      <c r="BH32" s="21">
        <v>0</v>
      </c>
      <c r="BI32" s="21">
        <v>0</v>
      </c>
      <c r="BJ32" s="21">
        <v>0</v>
      </c>
      <c r="BK32" s="21">
        <v>0</v>
      </c>
      <c r="BL32" s="5"/>
      <c r="BM32" s="5">
        <f t="shared" ref="BM32:BM59" si="1">SUM(SUMPRODUCT($AH$4:$BK$4,D32:AG32), AH32:BK32)</f>
        <v>1</v>
      </c>
      <c r="BN32" s="9" t="s">
        <v>100</v>
      </c>
      <c r="BO32" s="14">
        <v>0</v>
      </c>
    </row>
    <row r="33" spans="1:67" x14ac:dyDescent="0.2">
      <c r="A33" s="18"/>
      <c r="B33" s="18"/>
      <c r="C33" s="44"/>
      <c r="D33" s="5">
        <v>0</v>
      </c>
      <c r="E33" s="5">
        <v>1</v>
      </c>
      <c r="F33" s="5">
        <v>1</v>
      </c>
      <c r="G33" s="5">
        <v>1</v>
      </c>
      <c r="H33" s="5">
        <v>0</v>
      </c>
      <c r="I33" s="5">
        <v>0</v>
      </c>
      <c r="J33" s="5">
        <v>0</v>
      </c>
      <c r="K33" s="5">
        <v>1</v>
      </c>
      <c r="L33" s="5">
        <v>1</v>
      </c>
      <c r="M33" s="5">
        <v>1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-1</v>
      </c>
      <c r="AK33" s="5">
        <v>0</v>
      </c>
      <c r="AL33" s="21">
        <v>0</v>
      </c>
      <c r="AM33" s="21">
        <v>0</v>
      </c>
      <c r="AN33" s="21">
        <v>0</v>
      </c>
      <c r="AO33" s="21">
        <v>0</v>
      </c>
      <c r="AP33" s="21">
        <v>0</v>
      </c>
      <c r="AQ33" s="21">
        <v>0</v>
      </c>
      <c r="AR33" s="21">
        <v>0</v>
      </c>
      <c r="AS33" s="21">
        <v>0</v>
      </c>
      <c r="AT33" s="21">
        <v>0</v>
      </c>
      <c r="AU33" s="21">
        <v>0</v>
      </c>
      <c r="AV33" s="21">
        <v>0</v>
      </c>
      <c r="AW33" s="21">
        <v>0</v>
      </c>
      <c r="AX33" s="21">
        <v>0</v>
      </c>
      <c r="AY33" s="21">
        <v>0</v>
      </c>
      <c r="AZ33" s="21">
        <v>0</v>
      </c>
      <c r="BA33" s="21">
        <v>0</v>
      </c>
      <c r="BB33" s="21">
        <v>0</v>
      </c>
      <c r="BC33" s="21">
        <v>0</v>
      </c>
      <c r="BD33" s="21">
        <v>0</v>
      </c>
      <c r="BE33" s="21">
        <v>0</v>
      </c>
      <c r="BF33" s="21">
        <v>0</v>
      </c>
      <c r="BG33" s="21">
        <v>0</v>
      </c>
      <c r="BH33" s="21">
        <v>0</v>
      </c>
      <c r="BI33" s="21">
        <v>0</v>
      </c>
      <c r="BJ33" s="21">
        <v>0</v>
      </c>
      <c r="BK33" s="21">
        <v>0</v>
      </c>
      <c r="BL33" s="5"/>
      <c r="BM33" s="5">
        <f t="shared" si="1"/>
        <v>1</v>
      </c>
      <c r="BN33" s="9" t="s">
        <v>100</v>
      </c>
      <c r="BO33" s="14">
        <v>0</v>
      </c>
    </row>
    <row r="34" spans="1:67" x14ac:dyDescent="0.2">
      <c r="A34" s="18"/>
      <c r="B34" s="18"/>
      <c r="C34" s="44"/>
      <c r="D34" s="5">
        <v>0</v>
      </c>
      <c r="E34" s="5">
        <v>0</v>
      </c>
      <c r="F34" s="5">
        <v>1</v>
      </c>
      <c r="G34" s="5">
        <v>1</v>
      </c>
      <c r="H34" s="5">
        <v>1</v>
      </c>
      <c r="I34" s="5">
        <v>0</v>
      </c>
      <c r="J34" s="5">
        <v>0</v>
      </c>
      <c r="K34" s="5">
        <v>0</v>
      </c>
      <c r="L34" s="5">
        <v>1</v>
      </c>
      <c r="M34" s="5">
        <v>1</v>
      </c>
      <c r="N34" s="5">
        <v>1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6">
        <v>-1</v>
      </c>
      <c r="AL34" s="21">
        <v>0</v>
      </c>
      <c r="AM34" s="21">
        <v>0</v>
      </c>
      <c r="AN34" s="21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1">
        <v>0</v>
      </c>
      <c r="AV34" s="21">
        <v>0</v>
      </c>
      <c r="AW34" s="21">
        <v>0</v>
      </c>
      <c r="AX34" s="21">
        <v>0</v>
      </c>
      <c r="AY34" s="21">
        <v>0</v>
      </c>
      <c r="AZ34" s="21">
        <v>0</v>
      </c>
      <c r="BA34" s="21">
        <v>0</v>
      </c>
      <c r="BB34" s="21">
        <v>0</v>
      </c>
      <c r="BC34" s="21">
        <v>0</v>
      </c>
      <c r="BD34" s="21">
        <v>0</v>
      </c>
      <c r="BE34" s="21">
        <v>0</v>
      </c>
      <c r="BF34" s="21">
        <v>0</v>
      </c>
      <c r="BG34" s="21">
        <v>0</v>
      </c>
      <c r="BH34" s="21">
        <v>0</v>
      </c>
      <c r="BI34" s="21">
        <v>0</v>
      </c>
      <c r="BJ34" s="21">
        <v>0</v>
      </c>
      <c r="BK34" s="21">
        <v>0</v>
      </c>
      <c r="BL34" s="5"/>
      <c r="BM34" s="5">
        <f t="shared" si="1"/>
        <v>0</v>
      </c>
      <c r="BN34" s="9" t="s">
        <v>100</v>
      </c>
      <c r="BO34" s="14">
        <v>0</v>
      </c>
    </row>
    <row r="35" spans="1:67" x14ac:dyDescent="0.2">
      <c r="A35" s="18"/>
      <c r="B35" s="18"/>
      <c r="C35" s="44"/>
      <c r="D35" s="5">
        <v>0</v>
      </c>
      <c r="E35" s="5">
        <v>0</v>
      </c>
      <c r="F35" s="5">
        <v>0</v>
      </c>
      <c r="G35" s="5">
        <v>1</v>
      </c>
      <c r="H35" s="5">
        <v>1</v>
      </c>
      <c r="I35" s="5">
        <v>1</v>
      </c>
      <c r="J35" s="5">
        <v>0</v>
      </c>
      <c r="K35" s="5">
        <v>0</v>
      </c>
      <c r="L35" s="5">
        <v>0</v>
      </c>
      <c r="M35" s="5">
        <v>1</v>
      </c>
      <c r="N35" s="5">
        <v>1</v>
      </c>
      <c r="O35" s="5">
        <v>1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6">
        <v>-1</v>
      </c>
      <c r="AM35" s="21">
        <v>0</v>
      </c>
      <c r="AN35" s="21">
        <v>0</v>
      </c>
      <c r="AO35" s="21">
        <v>0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  <c r="BC35" s="21">
        <v>0</v>
      </c>
      <c r="BD35" s="21">
        <v>0</v>
      </c>
      <c r="BE35" s="21">
        <v>0</v>
      </c>
      <c r="BF35" s="21">
        <v>0</v>
      </c>
      <c r="BG35" s="21">
        <v>0</v>
      </c>
      <c r="BH35" s="21">
        <v>0</v>
      </c>
      <c r="BI35" s="21">
        <v>0</v>
      </c>
      <c r="BJ35" s="21">
        <v>0</v>
      </c>
      <c r="BK35" s="21">
        <v>0</v>
      </c>
      <c r="BL35" s="5"/>
      <c r="BM35" s="5">
        <f t="shared" si="1"/>
        <v>0</v>
      </c>
      <c r="BN35" s="9" t="s">
        <v>100</v>
      </c>
      <c r="BO35" s="14">
        <v>0</v>
      </c>
    </row>
    <row r="36" spans="1:67" x14ac:dyDescent="0.2">
      <c r="A36" s="18"/>
      <c r="B36" s="18"/>
      <c r="C36" s="44"/>
      <c r="D36" s="5">
        <v>0</v>
      </c>
      <c r="E36" s="5">
        <v>0</v>
      </c>
      <c r="F36" s="5">
        <v>0</v>
      </c>
      <c r="G36" s="5">
        <v>0</v>
      </c>
      <c r="H36" s="5">
        <v>1</v>
      </c>
      <c r="I36" s="5">
        <v>1</v>
      </c>
      <c r="J36" s="5">
        <v>0</v>
      </c>
      <c r="K36" s="5">
        <v>0</v>
      </c>
      <c r="L36" s="5">
        <v>0</v>
      </c>
      <c r="M36" s="5">
        <v>0</v>
      </c>
      <c r="N36" s="5">
        <v>1</v>
      </c>
      <c r="O36" s="5">
        <v>1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21">
        <v>0</v>
      </c>
      <c r="AM36" s="6">
        <v>-1</v>
      </c>
      <c r="AN36" s="21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1">
        <v>0</v>
      </c>
      <c r="AV36" s="21">
        <v>0</v>
      </c>
      <c r="AW36" s="21">
        <v>0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  <c r="BC36" s="21">
        <v>0</v>
      </c>
      <c r="BD36" s="21">
        <v>0</v>
      </c>
      <c r="BE36" s="21">
        <v>0</v>
      </c>
      <c r="BF36" s="21">
        <v>0</v>
      </c>
      <c r="BG36" s="21">
        <v>0</v>
      </c>
      <c r="BH36" s="21">
        <v>0</v>
      </c>
      <c r="BI36" s="21">
        <v>0</v>
      </c>
      <c r="BJ36" s="21">
        <v>0</v>
      </c>
      <c r="BK36" s="21">
        <v>0</v>
      </c>
      <c r="BL36" s="5"/>
      <c r="BM36" s="5">
        <f t="shared" si="1"/>
        <v>0</v>
      </c>
      <c r="BN36" s="9" t="s">
        <v>100</v>
      </c>
      <c r="BO36" s="14">
        <v>0</v>
      </c>
    </row>
    <row r="37" spans="1:67" x14ac:dyDescent="0.2">
      <c r="A37" s="18"/>
      <c r="B37" s="18"/>
      <c r="C37" s="44"/>
      <c r="D37" s="5">
        <v>1</v>
      </c>
      <c r="E37" s="5">
        <v>1</v>
      </c>
      <c r="F37" s="5">
        <v>0</v>
      </c>
      <c r="G37" s="5">
        <v>0</v>
      </c>
      <c r="H37" s="5">
        <v>0</v>
      </c>
      <c r="I37" s="5">
        <v>0</v>
      </c>
      <c r="J37" s="5">
        <v>1</v>
      </c>
      <c r="K37" s="5">
        <v>1</v>
      </c>
      <c r="L37" s="5">
        <v>0</v>
      </c>
      <c r="M37" s="5">
        <v>0</v>
      </c>
      <c r="N37" s="5">
        <v>0</v>
      </c>
      <c r="O37" s="5">
        <v>0</v>
      </c>
      <c r="P37" s="5">
        <v>1</v>
      </c>
      <c r="Q37" s="5">
        <v>1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21">
        <v>0</v>
      </c>
      <c r="AM37" s="21">
        <v>0</v>
      </c>
      <c r="AN37" s="6">
        <v>-1</v>
      </c>
      <c r="AO37" s="21">
        <v>0</v>
      </c>
      <c r="AP37" s="21">
        <v>0</v>
      </c>
      <c r="AQ37" s="21">
        <v>0</v>
      </c>
      <c r="AR37" s="21">
        <v>0</v>
      </c>
      <c r="AS37" s="21">
        <v>0</v>
      </c>
      <c r="AT37" s="21">
        <v>0</v>
      </c>
      <c r="AU37" s="21">
        <v>0</v>
      </c>
      <c r="AV37" s="21">
        <v>0</v>
      </c>
      <c r="AW37" s="21">
        <v>0</v>
      </c>
      <c r="AX37" s="21">
        <v>0</v>
      </c>
      <c r="AY37" s="21">
        <v>0</v>
      </c>
      <c r="AZ37" s="21">
        <v>0</v>
      </c>
      <c r="BA37" s="21">
        <v>0</v>
      </c>
      <c r="BB37" s="21">
        <v>0</v>
      </c>
      <c r="BC37" s="21">
        <v>0</v>
      </c>
      <c r="BD37" s="21">
        <v>0</v>
      </c>
      <c r="BE37" s="21">
        <v>0</v>
      </c>
      <c r="BF37" s="21">
        <v>0</v>
      </c>
      <c r="BG37" s="21">
        <v>0</v>
      </c>
      <c r="BH37" s="21">
        <v>0</v>
      </c>
      <c r="BI37" s="21">
        <v>0</v>
      </c>
      <c r="BJ37" s="21">
        <v>0</v>
      </c>
      <c r="BK37" s="21">
        <v>0</v>
      </c>
      <c r="BL37" s="5"/>
      <c r="BM37" s="5">
        <f t="shared" si="1"/>
        <v>0</v>
      </c>
      <c r="BN37" s="9" t="s">
        <v>100</v>
      </c>
      <c r="BO37" s="14">
        <v>0</v>
      </c>
    </row>
    <row r="38" spans="1:67" x14ac:dyDescent="0.2">
      <c r="A38" s="18"/>
      <c r="B38" s="18"/>
      <c r="C38" s="44"/>
      <c r="D38" s="5">
        <v>1</v>
      </c>
      <c r="E38" s="5">
        <v>1</v>
      </c>
      <c r="F38" s="5">
        <v>1</v>
      </c>
      <c r="G38" s="5">
        <v>0</v>
      </c>
      <c r="H38" s="5">
        <v>0</v>
      </c>
      <c r="I38" s="5">
        <v>0</v>
      </c>
      <c r="J38" s="5">
        <v>1</v>
      </c>
      <c r="K38" s="5">
        <v>1</v>
      </c>
      <c r="L38" s="5">
        <v>1</v>
      </c>
      <c r="M38" s="5">
        <v>0</v>
      </c>
      <c r="N38" s="5">
        <v>0</v>
      </c>
      <c r="O38" s="5">
        <v>0</v>
      </c>
      <c r="P38" s="5">
        <v>1</v>
      </c>
      <c r="Q38" s="5">
        <v>1</v>
      </c>
      <c r="R38" s="5">
        <v>1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21">
        <v>0</v>
      </c>
      <c r="AM38" s="21">
        <v>0</v>
      </c>
      <c r="AN38" s="21">
        <v>0</v>
      </c>
      <c r="AO38" s="6">
        <v>-1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1">
        <v>0</v>
      </c>
      <c r="AV38" s="21">
        <v>0</v>
      </c>
      <c r="AW38" s="21">
        <v>0</v>
      </c>
      <c r="AX38" s="21">
        <v>0</v>
      </c>
      <c r="AY38" s="21">
        <v>0</v>
      </c>
      <c r="AZ38" s="21">
        <v>0</v>
      </c>
      <c r="BA38" s="21">
        <v>0</v>
      </c>
      <c r="BB38" s="21">
        <v>0</v>
      </c>
      <c r="BC38" s="21">
        <v>0</v>
      </c>
      <c r="BD38" s="21">
        <v>0</v>
      </c>
      <c r="BE38" s="21">
        <v>0</v>
      </c>
      <c r="BF38" s="21">
        <v>0</v>
      </c>
      <c r="BG38" s="21">
        <v>0</v>
      </c>
      <c r="BH38" s="21">
        <v>0</v>
      </c>
      <c r="BI38" s="21">
        <v>0</v>
      </c>
      <c r="BJ38" s="21">
        <v>0</v>
      </c>
      <c r="BK38" s="21">
        <v>0</v>
      </c>
      <c r="BL38" s="5"/>
      <c r="BM38" s="5">
        <f t="shared" si="1"/>
        <v>1</v>
      </c>
      <c r="BN38" s="9" t="s">
        <v>100</v>
      </c>
      <c r="BO38" s="14">
        <v>0</v>
      </c>
    </row>
    <row r="39" spans="1:67" x14ac:dyDescent="0.2">
      <c r="A39" s="18"/>
      <c r="B39" s="18"/>
      <c r="C39" s="44"/>
      <c r="D39" s="5">
        <v>0</v>
      </c>
      <c r="E39" s="5">
        <v>1</v>
      </c>
      <c r="F39" s="5">
        <v>1</v>
      </c>
      <c r="G39" s="5">
        <v>1</v>
      </c>
      <c r="H39" s="5">
        <v>0</v>
      </c>
      <c r="I39" s="5">
        <v>0</v>
      </c>
      <c r="J39" s="5">
        <v>0</v>
      </c>
      <c r="K39" s="5">
        <v>1</v>
      </c>
      <c r="L39" s="5">
        <v>1</v>
      </c>
      <c r="M39" s="5">
        <v>1</v>
      </c>
      <c r="N39" s="5">
        <v>0</v>
      </c>
      <c r="O39" s="5">
        <v>0</v>
      </c>
      <c r="P39" s="5">
        <v>0</v>
      </c>
      <c r="Q39" s="5">
        <v>1</v>
      </c>
      <c r="R39" s="5">
        <v>1</v>
      </c>
      <c r="S39" s="5">
        <v>1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21">
        <v>0</v>
      </c>
      <c r="AM39" s="21">
        <v>0</v>
      </c>
      <c r="AN39" s="21">
        <v>0</v>
      </c>
      <c r="AO39" s="21">
        <v>0</v>
      </c>
      <c r="AP39" s="6">
        <v>-1</v>
      </c>
      <c r="AQ39" s="21">
        <v>0</v>
      </c>
      <c r="AR39" s="21">
        <v>0</v>
      </c>
      <c r="AS39" s="21">
        <v>0</v>
      </c>
      <c r="AT39" s="21">
        <v>0</v>
      </c>
      <c r="AU39" s="6">
        <v>0</v>
      </c>
      <c r="AV39" s="21">
        <v>0</v>
      </c>
      <c r="AW39" s="21">
        <v>0</v>
      </c>
      <c r="AX39" s="21">
        <v>0</v>
      </c>
      <c r="AY39" s="21">
        <v>0</v>
      </c>
      <c r="AZ39" s="21">
        <v>0</v>
      </c>
      <c r="BA39" s="21">
        <v>0</v>
      </c>
      <c r="BB39" s="21">
        <v>0</v>
      </c>
      <c r="BC39" s="21">
        <v>0</v>
      </c>
      <c r="BD39" s="21">
        <v>0</v>
      </c>
      <c r="BE39" s="21">
        <v>0</v>
      </c>
      <c r="BF39" s="21">
        <v>0</v>
      </c>
      <c r="BG39" s="21">
        <v>0</v>
      </c>
      <c r="BH39" s="21">
        <v>0</v>
      </c>
      <c r="BI39" s="21">
        <v>0</v>
      </c>
      <c r="BJ39" s="21">
        <v>0</v>
      </c>
      <c r="BK39" s="21">
        <v>0</v>
      </c>
      <c r="BL39" s="5"/>
      <c r="BM39" s="5">
        <f t="shared" si="1"/>
        <v>1</v>
      </c>
      <c r="BN39" s="9" t="s">
        <v>100</v>
      </c>
      <c r="BO39" s="14">
        <v>0</v>
      </c>
    </row>
    <row r="40" spans="1:67" x14ac:dyDescent="0.2">
      <c r="A40" s="18"/>
      <c r="B40" s="18"/>
      <c r="C40" s="44"/>
      <c r="D40" s="5">
        <v>0</v>
      </c>
      <c r="E40" s="5">
        <v>0</v>
      </c>
      <c r="F40" s="5">
        <v>1</v>
      </c>
      <c r="G40" s="5">
        <v>1</v>
      </c>
      <c r="H40" s="5">
        <v>1</v>
      </c>
      <c r="I40" s="5">
        <v>0</v>
      </c>
      <c r="J40" s="5">
        <v>0</v>
      </c>
      <c r="K40" s="5">
        <v>0</v>
      </c>
      <c r="L40" s="5">
        <v>1</v>
      </c>
      <c r="M40" s="5">
        <v>1</v>
      </c>
      <c r="N40" s="5">
        <v>1</v>
      </c>
      <c r="O40" s="5">
        <v>0</v>
      </c>
      <c r="P40" s="5">
        <v>0</v>
      </c>
      <c r="Q40" s="5">
        <v>0</v>
      </c>
      <c r="R40" s="5">
        <v>1</v>
      </c>
      <c r="S40" s="5">
        <v>1</v>
      </c>
      <c r="T40" s="5">
        <v>1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21">
        <v>0</v>
      </c>
      <c r="AM40" s="21">
        <v>0</v>
      </c>
      <c r="AN40" s="21">
        <v>0</v>
      </c>
      <c r="AO40" s="21">
        <v>0</v>
      </c>
      <c r="AP40" s="21">
        <v>0</v>
      </c>
      <c r="AQ40" s="6">
        <v>-1</v>
      </c>
      <c r="AR40" s="21">
        <v>0</v>
      </c>
      <c r="AS40" s="21">
        <v>0</v>
      </c>
      <c r="AT40" s="21">
        <v>0</v>
      </c>
      <c r="AU40" s="6">
        <v>0</v>
      </c>
      <c r="AV40" s="21">
        <v>0</v>
      </c>
      <c r="AW40" s="21">
        <v>0</v>
      </c>
      <c r="AX40" s="21">
        <v>0</v>
      </c>
      <c r="AY40" s="21">
        <v>0</v>
      </c>
      <c r="AZ40" s="21">
        <v>0</v>
      </c>
      <c r="BA40" s="21">
        <v>0</v>
      </c>
      <c r="BB40" s="21">
        <v>0</v>
      </c>
      <c r="BC40" s="21">
        <v>0</v>
      </c>
      <c r="BD40" s="21">
        <v>0</v>
      </c>
      <c r="BE40" s="21">
        <v>0</v>
      </c>
      <c r="BF40" s="21">
        <v>0</v>
      </c>
      <c r="BG40" s="21">
        <v>0</v>
      </c>
      <c r="BH40" s="21">
        <v>0</v>
      </c>
      <c r="BI40" s="21">
        <v>0</v>
      </c>
      <c r="BJ40" s="21">
        <v>0</v>
      </c>
      <c r="BK40" s="21">
        <v>0</v>
      </c>
      <c r="BL40" s="5"/>
      <c r="BM40" s="5">
        <f t="shared" si="1"/>
        <v>0</v>
      </c>
      <c r="BN40" s="9" t="s">
        <v>100</v>
      </c>
      <c r="BO40" s="14">
        <v>0</v>
      </c>
    </row>
    <row r="41" spans="1:67" x14ac:dyDescent="0.2">
      <c r="A41" s="18"/>
      <c r="B41" s="18"/>
      <c r="C41" s="44"/>
      <c r="D41" s="5">
        <v>0</v>
      </c>
      <c r="E41" s="5">
        <v>0</v>
      </c>
      <c r="F41" s="5">
        <v>0</v>
      </c>
      <c r="G41" s="5">
        <v>1</v>
      </c>
      <c r="H41" s="5">
        <v>1</v>
      </c>
      <c r="I41" s="5">
        <v>1</v>
      </c>
      <c r="J41" s="5">
        <v>0</v>
      </c>
      <c r="K41" s="5">
        <v>0</v>
      </c>
      <c r="L41" s="5">
        <v>0</v>
      </c>
      <c r="M41" s="5">
        <v>1</v>
      </c>
      <c r="N41" s="5">
        <v>1</v>
      </c>
      <c r="O41" s="5">
        <v>1</v>
      </c>
      <c r="P41" s="5">
        <v>0</v>
      </c>
      <c r="Q41" s="5">
        <v>0</v>
      </c>
      <c r="R41" s="5">
        <v>0</v>
      </c>
      <c r="S41" s="5">
        <v>1</v>
      </c>
      <c r="T41" s="5">
        <v>1</v>
      </c>
      <c r="U41" s="5">
        <v>1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21">
        <v>0</v>
      </c>
      <c r="AM41" s="21">
        <v>0</v>
      </c>
      <c r="AN41" s="21">
        <v>0</v>
      </c>
      <c r="AO41" s="21">
        <v>0</v>
      </c>
      <c r="AP41" s="21">
        <v>0</v>
      </c>
      <c r="AQ41" s="21">
        <v>0</v>
      </c>
      <c r="AR41" s="6">
        <v>-1</v>
      </c>
      <c r="AS41" s="6">
        <v>0</v>
      </c>
      <c r="AT41" s="21">
        <v>0</v>
      </c>
      <c r="AU41" s="6">
        <v>0</v>
      </c>
      <c r="AV41" s="21">
        <v>0</v>
      </c>
      <c r="AW41" s="21">
        <v>0</v>
      </c>
      <c r="AX41" s="21">
        <v>0</v>
      </c>
      <c r="AY41" s="21">
        <v>0</v>
      </c>
      <c r="AZ41" s="21">
        <v>0</v>
      </c>
      <c r="BA41" s="21">
        <v>0</v>
      </c>
      <c r="BB41" s="21">
        <v>0</v>
      </c>
      <c r="BC41" s="21">
        <v>0</v>
      </c>
      <c r="BD41" s="21">
        <v>0</v>
      </c>
      <c r="BE41" s="21">
        <v>0</v>
      </c>
      <c r="BF41" s="21">
        <v>0</v>
      </c>
      <c r="BG41" s="21">
        <v>0</v>
      </c>
      <c r="BH41" s="21">
        <v>0</v>
      </c>
      <c r="BI41" s="21">
        <v>0</v>
      </c>
      <c r="BJ41" s="21">
        <v>0</v>
      </c>
      <c r="BK41" s="21">
        <v>0</v>
      </c>
      <c r="BL41" s="5"/>
      <c r="BM41" s="5">
        <f t="shared" si="1"/>
        <v>0</v>
      </c>
      <c r="BN41" s="9" t="s">
        <v>100</v>
      </c>
      <c r="BO41" s="14">
        <v>0</v>
      </c>
    </row>
    <row r="42" spans="1:67" x14ac:dyDescent="0.2">
      <c r="A42" s="18"/>
      <c r="B42" s="18"/>
      <c r="C42" s="44"/>
      <c r="D42" s="5">
        <v>0</v>
      </c>
      <c r="E42" s="5">
        <v>0</v>
      </c>
      <c r="F42" s="5">
        <v>0</v>
      </c>
      <c r="G42" s="5">
        <v>0</v>
      </c>
      <c r="H42" s="5">
        <v>1</v>
      </c>
      <c r="I42" s="5">
        <v>1</v>
      </c>
      <c r="J42" s="5">
        <v>0</v>
      </c>
      <c r="K42" s="5">
        <v>0</v>
      </c>
      <c r="L42" s="5">
        <v>0</v>
      </c>
      <c r="M42" s="5">
        <v>0</v>
      </c>
      <c r="N42" s="5">
        <v>1</v>
      </c>
      <c r="O42" s="5">
        <v>1</v>
      </c>
      <c r="P42" s="5">
        <v>0</v>
      </c>
      <c r="Q42" s="5">
        <v>0</v>
      </c>
      <c r="R42" s="5">
        <v>0</v>
      </c>
      <c r="S42" s="5">
        <v>0</v>
      </c>
      <c r="T42" s="5">
        <v>1</v>
      </c>
      <c r="U42" s="5">
        <v>1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21">
        <v>0</v>
      </c>
      <c r="AM42" s="21">
        <v>0</v>
      </c>
      <c r="AN42" s="21">
        <v>0</v>
      </c>
      <c r="AO42" s="21">
        <v>0</v>
      </c>
      <c r="AP42" s="21">
        <v>0</v>
      </c>
      <c r="AQ42" s="21">
        <v>0</v>
      </c>
      <c r="AR42" s="21">
        <v>0</v>
      </c>
      <c r="AS42" s="6">
        <v>-1</v>
      </c>
      <c r="AT42" s="21">
        <v>0</v>
      </c>
      <c r="AU42" s="6">
        <v>0</v>
      </c>
      <c r="AV42" s="21">
        <v>0</v>
      </c>
      <c r="AW42" s="21">
        <v>0</v>
      </c>
      <c r="AX42" s="21">
        <v>0</v>
      </c>
      <c r="AY42" s="21">
        <v>0</v>
      </c>
      <c r="AZ42" s="21">
        <v>0</v>
      </c>
      <c r="BA42" s="21">
        <v>0</v>
      </c>
      <c r="BB42" s="21">
        <v>0</v>
      </c>
      <c r="BC42" s="21">
        <v>0</v>
      </c>
      <c r="BD42" s="21">
        <v>0</v>
      </c>
      <c r="BE42" s="21">
        <v>0</v>
      </c>
      <c r="BF42" s="21">
        <v>0</v>
      </c>
      <c r="BG42" s="21">
        <v>0</v>
      </c>
      <c r="BH42" s="21">
        <v>0</v>
      </c>
      <c r="BI42" s="21">
        <v>0</v>
      </c>
      <c r="BJ42" s="21">
        <v>0</v>
      </c>
      <c r="BK42" s="21">
        <v>0</v>
      </c>
      <c r="BL42" s="5"/>
      <c r="BM42" s="5">
        <f t="shared" si="1"/>
        <v>0</v>
      </c>
      <c r="BN42" s="9" t="s">
        <v>100</v>
      </c>
      <c r="BO42" s="14">
        <v>0</v>
      </c>
    </row>
    <row r="43" spans="1:67" x14ac:dyDescent="0.2">
      <c r="A43" s="18"/>
      <c r="B43" s="18"/>
      <c r="C43" s="44"/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1</v>
      </c>
      <c r="K43" s="5">
        <v>1</v>
      </c>
      <c r="L43" s="5">
        <v>0</v>
      </c>
      <c r="M43" s="5">
        <v>0</v>
      </c>
      <c r="N43" s="5">
        <v>0</v>
      </c>
      <c r="O43" s="5">
        <v>0</v>
      </c>
      <c r="P43" s="5">
        <v>1</v>
      </c>
      <c r="Q43" s="5">
        <v>1</v>
      </c>
      <c r="R43" s="5">
        <v>0</v>
      </c>
      <c r="S43" s="5">
        <v>0</v>
      </c>
      <c r="T43" s="5">
        <v>0</v>
      </c>
      <c r="U43" s="5">
        <v>0</v>
      </c>
      <c r="V43" s="5">
        <v>1</v>
      </c>
      <c r="W43" s="5">
        <v>1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21">
        <v>0</v>
      </c>
      <c r="AM43" s="21">
        <v>0</v>
      </c>
      <c r="AN43" s="21">
        <v>0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6">
        <v>-1</v>
      </c>
      <c r="AU43" s="6">
        <v>0</v>
      </c>
      <c r="AV43" s="21">
        <v>0</v>
      </c>
      <c r="AW43" s="21">
        <v>0</v>
      </c>
      <c r="AX43" s="21">
        <v>0</v>
      </c>
      <c r="AY43" s="21">
        <v>0</v>
      </c>
      <c r="AZ43" s="21">
        <v>0</v>
      </c>
      <c r="BA43" s="21">
        <v>0</v>
      </c>
      <c r="BB43" s="21">
        <v>0</v>
      </c>
      <c r="BC43" s="21">
        <v>0</v>
      </c>
      <c r="BD43" s="21">
        <v>0</v>
      </c>
      <c r="BE43" s="21">
        <v>0</v>
      </c>
      <c r="BF43" s="21">
        <v>0</v>
      </c>
      <c r="BG43" s="21">
        <v>0</v>
      </c>
      <c r="BH43" s="21">
        <v>0</v>
      </c>
      <c r="BI43" s="21">
        <v>0</v>
      </c>
      <c r="BJ43" s="21">
        <v>0</v>
      </c>
      <c r="BK43" s="21">
        <v>0</v>
      </c>
      <c r="BL43" s="5"/>
      <c r="BM43" s="5">
        <f t="shared" si="1"/>
        <v>1</v>
      </c>
      <c r="BN43" s="9" t="s">
        <v>100</v>
      </c>
      <c r="BO43" s="14">
        <v>0</v>
      </c>
    </row>
    <row r="44" spans="1:67" x14ac:dyDescent="0.2">
      <c r="A44" s="18"/>
      <c r="B44" s="18"/>
      <c r="C44" s="44"/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1</v>
      </c>
      <c r="K44" s="5">
        <v>1</v>
      </c>
      <c r="L44" s="5">
        <v>1</v>
      </c>
      <c r="M44" s="5">
        <v>0</v>
      </c>
      <c r="N44" s="5">
        <v>0</v>
      </c>
      <c r="O44" s="5">
        <v>0</v>
      </c>
      <c r="P44" s="5">
        <v>1</v>
      </c>
      <c r="Q44" s="5">
        <v>1</v>
      </c>
      <c r="R44" s="5">
        <v>1</v>
      </c>
      <c r="S44" s="5">
        <v>0</v>
      </c>
      <c r="T44" s="5">
        <v>0</v>
      </c>
      <c r="U44" s="5">
        <v>0</v>
      </c>
      <c r="V44" s="5">
        <v>1</v>
      </c>
      <c r="W44" s="5">
        <v>1</v>
      </c>
      <c r="X44" s="5">
        <v>1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21">
        <v>0</v>
      </c>
      <c r="AM44" s="21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-1</v>
      </c>
      <c r="AV44" s="21">
        <v>0</v>
      </c>
      <c r="AW44" s="21">
        <v>0</v>
      </c>
      <c r="AX44" s="21">
        <v>0</v>
      </c>
      <c r="AY44" s="21">
        <v>0</v>
      </c>
      <c r="AZ44" s="21">
        <v>0</v>
      </c>
      <c r="BA44" s="21">
        <v>0</v>
      </c>
      <c r="BB44" s="21">
        <v>0</v>
      </c>
      <c r="BC44" s="21">
        <v>0</v>
      </c>
      <c r="BD44" s="21">
        <v>0</v>
      </c>
      <c r="BE44" s="21">
        <v>0</v>
      </c>
      <c r="BF44" s="21">
        <v>0</v>
      </c>
      <c r="BG44" s="21">
        <v>0</v>
      </c>
      <c r="BH44" s="21">
        <v>0</v>
      </c>
      <c r="BI44" s="21">
        <v>0</v>
      </c>
      <c r="BJ44" s="21">
        <v>0</v>
      </c>
      <c r="BK44" s="21">
        <v>0</v>
      </c>
      <c r="BL44" s="5"/>
      <c r="BM44" s="5">
        <f t="shared" si="1"/>
        <v>2</v>
      </c>
      <c r="BN44" s="9" t="s">
        <v>100</v>
      </c>
      <c r="BO44" s="14">
        <v>0</v>
      </c>
    </row>
    <row r="45" spans="1:67" x14ac:dyDescent="0.2">
      <c r="A45" s="18"/>
      <c r="B45" s="18"/>
      <c r="C45" s="44"/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1</v>
      </c>
      <c r="L45" s="5">
        <v>1</v>
      </c>
      <c r="M45" s="5">
        <v>1</v>
      </c>
      <c r="N45" s="5">
        <v>0</v>
      </c>
      <c r="O45" s="5">
        <v>0</v>
      </c>
      <c r="P45" s="5">
        <v>0</v>
      </c>
      <c r="Q45" s="5">
        <v>1</v>
      </c>
      <c r="R45" s="5">
        <v>1</v>
      </c>
      <c r="S45" s="5">
        <v>1</v>
      </c>
      <c r="T45" s="5">
        <v>0</v>
      </c>
      <c r="U45" s="5">
        <v>0</v>
      </c>
      <c r="V45" s="5">
        <v>0</v>
      </c>
      <c r="W45" s="5">
        <v>1</v>
      </c>
      <c r="X45" s="5">
        <v>1</v>
      </c>
      <c r="Y45" s="5">
        <v>1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21">
        <v>0</v>
      </c>
      <c r="AM45" s="21">
        <v>0</v>
      </c>
      <c r="AN45" s="21">
        <v>0</v>
      </c>
      <c r="AO45" s="21">
        <v>0</v>
      </c>
      <c r="AP45" s="21">
        <v>0</v>
      </c>
      <c r="AQ45" s="21">
        <v>0</v>
      </c>
      <c r="AR45" s="21">
        <v>0</v>
      </c>
      <c r="AS45" s="21">
        <v>0</v>
      </c>
      <c r="AT45" s="21">
        <v>0</v>
      </c>
      <c r="AU45" s="21">
        <v>0</v>
      </c>
      <c r="AV45" s="6">
        <v>-1</v>
      </c>
      <c r="AW45" s="21">
        <v>0</v>
      </c>
      <c r="AX45" s="21">
        <v>0</v>
      </c>
      <c r="AY45" s="21">
        <v>0</v>
      </c>
      <c r="AZ45" s="21">
        <v>0</v>
      </c>
      <c r="BA45" s="21">
        <v>0</v>
      </c>
      <c r="BB45" s="21">
        <v>0</v>
      </c>
      <c r="BC45" s="21">
        <v>0</v>
      </c>
      <c r="BD45" s="21">
        <v>0</v>
      </c>
      <c r="BE45" s="21">
        <v>0</v>
      </c>
      <c r="BF45" s="21">
        <v>0</v>
      </c>
      <c r="BG45" s="21">
        <v>0</v>
      </c>
      <c r="BH45" s="21">
        <v>0</v>
      </c>
      <c r="BI45" s="21">
        <v>0</v>
      </c>
      <c r="BJ45" s="21">
        <v>0</v>
      </c>
      <c r="BK45" s="21">
        <v>0</v>
      </c>
      <c r="BL45" s="5"/>
      <c r="BM45" s="5">
        <f t="shared" si="1"/>
        <v>2</v>
      </c>
      <c r="BN45" s="9" t="s">
        <v>100</v>
      </c>
      <c r="BO45" s="14">
        <v>0</v>
      </c>
    </row>
    <row r="46" spans="1:67" x14ac:dyDescent="0.2">
      <c r="A46" s="18"/>
      <c r="B46" s="18"/>
      <c r="C46" s="44"/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1</v>
      </c>
      <c r="M46" s="5">
        <v>1</v>
      </c>
      <c r="N46" s="5">
        <v>1</v>
      </c>
      <c r="O46" s="5">
        <v>0</v>
      </c>
      <c r="P46" s="5">
        <v>0</v>
      </c>
      <c r="Q46" s="5">
        <v>0</v>
      </c>
      <c r="R46" s="5">
        <v>1</v>
      </c>
      <c r="S46" s="5">
        <v>1</v>
      </c>
      <c r="T46" s="5">
        <v>1</v>
      </c>
      <c r="U46" s="5">
        <v>0</v>
      </c>
      <c r="V46" s="5">
        <v>0</v>
      </c>
      <c r="W46" s="5">
        <v>0</v>
      </c>
      <c r="X46" s="5">
        <v>1</v>
      </c>
      <c r="Y46" s="5">
        <v>1</v>
      </c>
      <c r="Z46" s="5">
        <v>1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21">
        <v>0</v>
      </c>
      <c r="AM46" s="21">
        <v>0</v>
      </c>
      <c r="AN46" s="21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1">
        <v>0</v>
      </c>
      <c r="AV46" s="21">
        <v>0</v>
      </c>
      <c r="AW46" s="6">
        <v>-1</v>
      </c>
      <c r="AX46" s="21">
        <v>0</v>
      </c>
      <c r="AY46" s="21">
        <v>0</v>
      </c>
      <c r="AZ46" s="21">
        <v>0</v>
      </c>
      <c r="BA46" s="21">
        <v>0</v>
      </c>
      <c r="BB46" s="21">
        <v>0</v>
      </c>
      <c r="BC46" s="21">
        <v>0</v>
      </c>
      <c r="BD46" s="21">
        <v>0</v>
      </c>
      <c r="BE46" s="21">
        <v>0</v>
      </c>
      <c r="BF46" s="21">
        <v>0</v>
      </c>
      <c r="BG46" s="21">
        <v>0</v>
      </c>
      <c r="BH46" s="21">
        <v>0</v>
      </c>
      <c r="BI46" s="21">
        <v>0</v>
      </c>
      <c r="BJ46" s="21">
        <v>0</v>
      </c>
      <c r="BK46" s="21">
        <v>0</v>
      </c>
      <c r="BL46" s="5"/>
      <c r="BM46" s="5">
        <f t="shared" si="1"/>
        <v>1</v>
      </c>
      <c r="BN46" s="9" t="s">
        <v>100</v>
      </c>
      <c r="BO46" s="14">
        <v>0</v>
      </c>
    </row>
    <row r="47" spans="1:67" x14ac:dyDescent="0.2">
      <c r="A47" s="18"/>
      <c r="B47" s="18"/>
      <c r="C47" s="44"/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1</v>
      </c>
      <c r="N47" s="5">
        <v>1</v>
      </c>
      <c r="O47" s="5">
        <v>1</v>
      </c>
      <c r="P47" s="5">
        <v>0</v>
      </c>
      <c r="Q47" s="5">
        <v>0</v>
      </c>
      <c r="R47" s="5">
        <v>0</v>
      </c>
      <c r="S47" s="5">
        <v>1</v>
      </c>
      <c r="T47" s="5">
        <v>1</v>
      </c>
      <c r="U47" s="5">
        <v>1</v>
      </c>
      <c r="V47" s="5">
        <v>0</v>
      </c>
      <c r="W47" s="5">
        <v>0</v>
      </c>
      <c r="X47" s="5">
        <v>0</v>
      </c>
      <c r="Y47" s="5">
        <v>1</v>
      </c>
      <c r="Z47" s="5">
        <v>1</v>
      </c>
      <c r="AA47" s="5">
        <v>1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21">
        <v>0</v>
      </c>
      <c r="AM47" s="21">
        <v>0</v>
      </c>
      <c r="AN47" s="21">
        <v>0</v>
      </c>
      <c r="AO47" s="21">
        <v>0</v>
      </c>
      <c r="AP47" s="21">
        <v>0</v>
      </c>
      <c r="AQ47" s="21">
        <v>0</v>
      </c>
      <c r="AR47" s="21">
        <v>0</v>
      </c>
      <c r="AS47" s="21">
        <v>0</v>
      </c>
      <c r="AT47" s="21">
        <v>0</v>
      </c>
      <c r="AU47" s="21">
        <v>0</v>
      </c>
      <c r="AV47" s="21">
        <v>0</v>
      </c>
      <c r="AW47" s="21">
        <v>0</v>
      </c>
      <c r="AX47" s="6">
        <v>-1</v>
      </c>
      <c r="AY47" s="21">
        <v>0</v>
      </c>
      <c r="AZ47" s="21">
        <v>0</v>
      </c>
      <c r="BA47" s="21">
        <v>0</v>
      </c>
      <c r="BB47" s="21">
        <v>0</v>
      </c>
      <c r="BC47" s="21">
        <v>0</v>
      </c>
      <c r="BD47" s="21">
        <v>0</v>
      </c>
      <c r="BE47" s="21">
        <v>0</v>
      </c>
      <c r="BF47" s="21">
        <v>0</v>
      </c>
      <c r="BG47" s="21">
        <v>0</v>
      </c>
      <c r="BH47" s="21">
        <v>0</v>
      </c>
      <c r="BI47" s="21">
        <v>0</v>
      </c>
      <c r="BJ47" s="21">
        <v>0</v>
      </c>
      <c r="BK47" s="21">
        <v>0</v>
      </c>
      <c r="BL47" s="5"/>
      <c r="BM47" s="5">
        <f t="shared" si="1"/>
        <v>1</v>
      </c>
      <c r="BN47" s="9" t="s">
        <v>100</v>
      </c>
      <c r="BO47" s="14">
        <v>0</v>
      </c>
    </row>
    <row r="48" spans="1:67" x14ac:dyDescent="0.2">
      <c r="A48" s="18"/>
      <c r="B48" s="18"/>
      <c r="C48" s="44"/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1</v>
      </c>
      <c r="O48" s="5">
        <v>1</v>
      </c>
      <c r="P48" s="5">
        <v>0</v>
      </c>
      <c r="Q48" s="5">
        <v>0</v>
      </c>
      <c r="R48" s="5">
        <v>0</v>
      </c>
      <c r="S48" s="5">
        <v>0</v>
      </c>
      <c r="T48" s="5">
        <v>1</v>
      </c>
      <c r="U48" s="5">
        <v>1</v>
      </c>
      <c r="V48" s="5">
        <v>0</v>
      </c>
      <c r="W48" s="5">
        <v>0</v>
      </c>
      <c r="X48" s="5">
        <v>0</v>
      </c>
      <c r="Y48" s="5">
        <v>0</v>
      </c>
      <c r="Z48" s="5">
        <v>1</v>
      </c>
      <c r="AA48" s="5">
        <v>1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21">
        <v>0</v>
      </c>
      <c r="AM48" s="21">
        <v>0</v>
      </c>
      <c r="AN48" s="21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1">
        <v>0</v>
      </c>
      <c r="AV48" s="21">
        <v>0</v>
      </c>
      <c r="AW48" s="21">
        <v>0</v>
      </c>
      <c r="AX48" s="21">
        <v>0</v>
      </c>
      <c r="AY48" s="6">
        <v>-1</v>
      </c>
      <c r="AZ48" s="21">
        <v>0</v>
      </c>
      <c r="BA48" s="21">
        <v>0</v>
      </c>
      <c r="BB48" s="21">
        <v>0</v>
      </c>
      <c r="BC48" s="21">
        <v>0</v>
      </c>
      <c r="BD48" s="21">
        <v>0</v>
      </c>
      <c r="BE48" s="21">
        <v>0</v>
      </c>
      <c r="BF48" s="21">
        <v>0</v>
      </c>
      <c r="BG48" s="21">
        <v>0</v>
      </c>
      <c r="BH48" s="21">
        <v>0</v>
      </c>
      <c r="BI48" s="21">
        <v>0</v>
      </c>
      <c r="BJ48" s="21">
        <v>0</v>
      </c>
      <c r="BK48" s="21">
        <v>0</v>
      </c>
      <c r="BL48" s="5"/>
      <c r="BM48" s="5">
        <f t="shared" si="1"/>
        <v>1</v>
      </c>
      <c r="BN48" s="9" t="s">
        <v>100</v>
      </c>
      <c r="BO48" s="14">
        <v>0</v>
      </c>
    </row>
    <row r="49" spans="1:67" x14ac:dyDescent="0.2">
      <c r="A49" s="18"/>
      <c r="B49" s="18"/>
      <c r="C49" s="44"/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1</v>
      </c>
      <c r="Q49" s="5">
        <v>1</v>
      </c>
      <c r="R49" s="5">
        <v>0</v>
      </c>
      <c r="S49" s="5">
        <v>0</v>
      </c>
      <c r="T49" s="5">
        <v>0</v>
      </c>
      <c r="U49" s="5">
        <v>0</v>
      </c>
      <c r="V49" s="5">
        <v>1</v>
      </c>
      <c r="W49" s="5">
        <v>1</v>
      </c>
      <c r="X49" s="5">
        <v>0</v>
      </c>
      <c r="Y49" s="5">
        <v>0</v>
      </c>
      <c r="Z49" s="5">
        <v>0</v>
      </c>
      <c r="AA49" s="5">
        <v>0</v>
      </c>
      <c r="AB49" s="5">
        <v>1</v>
      </c>
      <c r="AC49" s="5">
        <v>1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21">
        <v>0</v>
      </c>
      <c r="AM49" s="21">
        <v>0</v>
      </c>
      <c r="AN49" s="21">
        <v>0</v>
      </c>
      <c r="AO49" s="21">
        <v>0</v>
      </c>
      <c r="AP49" s="21">
        <v>0</v>
      </c>
      <c r="AQ49" s="21">
        <v>0</v>
      </c>
      <c r="AR49" s="21">
        <v>0</v>
      </c>
      <c r="AS49" s="21">
        <v>0</v>
      </c>
      <c r="AT49" s="21">
        <v>0</v>
      </c>
      <c r="AU49" s="21">
        <v>0</v>
      </c>
      <c r="AV49" s="21">
        <v>0</v>
      </c>
      <c r="AW49" s="6">
        <v>0</v>
      </c>
      <c r="AX49" s="21">
        <v>0</v>
      </c>
      <c r="AY49" s="21">
        <v>0</v>
      </c>
      <c r="AZ49" s="6">
        <v>-1</v>
      </c>
      <c r="BA49" s="21">
        <v>0</v>
      </c>
      <c r="BB49" s="21">
        <v>0</v>
      </c>
      <c r="BC49" s="21">
        <v>0</v>
      </c>
      <c r="BD49" s="21">
        <v>0</v>
      </c>
      <c r="BE49" s="21">
        <v>0</v>
      </c>
      <c r="BF49" s="21">
        <v>0</v>
      </c>
      <c r="BG49" s="21">
        <v>0</v>
      </c>
      <c r="BH49" s="21">
        <v>0</v>
      </c>
      <c r="BI49" s="21">
        <v>0</v>
      </c>
      <c r="BJ49" s="21">
        <v>0</v>
      </c>
      <c r="BK49" s="21">
        <v>0</v>
      </c>
      <c r="BL49" s="5"/>
      <c r="BM49" s="5">
        <f t="shared" si="1"/>
        <v>0</v>
      </c>
      <c r="BN49" s="9" t="s">
        <v>100</v>
      </c>
      <c r="BO49" s="14">
        <v>0</v>
      </c>
    </row>
    <row r="50" spans="1:67" x14ac:dyDescent="0.2">
      <c r="A50" s="18"/>
      <c r="B50" s="18"/>
      <c r="C50" s="44"/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1</v>
      </c>
      <c r="Q50" s="5">
        <v>1</v>
      </c>
      <c r="R50" s="5">
        <v>1</v>
      </c>
      <c r="S50" s="5">
        <v>0</v>
      </c>
      <c r="T50" s="5">
        <v>0</v>
      </c>
      <c r="U50" s="5">
        <v>0</v>
      </c>
      <c r="V50" s="5">
        <v>1</v>
      </c>
      <c r="W50" s="5">
        <v>1</v>
      </c>
      <c r="X50" s="5">
        <v>1</v>
      </c>
      <c r="Y50" s="5">
        <v>0</v>
      </c>
      <c r="Z50" s="5">
        <v>0</v>
      </c>
      <c r="AA50" s="5">
        <v>0</v>
      </c>
      <c r="AB50" s="5">
        <v>1</v>
      </c>
      <c r="AC50" s="5">
        <v>1</v>
      </c>
      <c r="AD50" s="5">
        <v>1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21">
        <v>0</v>
      </c>
      <c r="AM50" s="21">
        <v>0</v>
      </c>
      <c r="AN50" s="21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1">
        <v>0</v>
      </c>
      <c r="AV50" s="21">
        <v>0</v>
      </c>
      <c r="AW50" s="6">
        <v>0</v>
      </c>
      <c r="AX50" s="21">
        <v>0</v>
      </c>
      <c r="AY50" s="21">
        <v>0</v>
      </c>
      <c r="AZ50" s="21">
        <v>0</v>
      </c>
      <c r="BA50" s="6">
        <v>-1</v>
      </c>
      <c r="BB50" s="21">
        <v>0</v>
      </c>
      <c r="BC50" s="21">
        <v>0</v>
      </c>
      <c r="BD50" s="21">
        <v>0</v>
      </c>
      <c r="BE50" s="21">
        <v>0</v>
      </c>
      <c r="BF50" s="21">
        <v>0</v>
      </c>
      <c r="BG50" s="21">
        <v>0</v>
      </c>
      <c r="BH50" s="21">
        <v>0</v>
      </c>
      <c r="BI50" s="21">
        <v>0</v>
      </c>
      <c r="BJ50" s="21">
        <v>0</v>
      </c>
      <c r="BK50" s="21">
        <v>0</v>
      </c>
      <c r="BL50" s="5"/>
      <c r="BM50" s="5">
        <f t="shared" si="1"/>
        <v>0</v>
      </c>
      <c r="BN50" s="9" t="s">
        <v>100</v>
      </c>
      <c r="BO50" s="14">
        <v>0</v>
      </c>
    </row>
    <row r="51" spans="1:67" x14ac:dyDescent="0.2">
      <c r="A51" s="18"/>
      <c r="B51" s="18"/>
      <c r="C51" s="44"/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1</v>
      </c>
      <c r="R51" s="5">
        <v>1</v>
      </c>
      <c r="S51" s="5">
        <v>1</v>
      </c>
      <c r="T51" s="5">
        <v>0</v>
      </c>
      <c r="U51" s="5">
        <v>0</v>
      </c>
      <c r="V51" s="5">
        <v>0</v>
      </c>
      <c r="W51" s="5">
        <v>1</v>
      </c>
      <c r="X51" s="5">
        <v>1</v>
      </c>
      <c r="Y51" s="5">
        <v>1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5">
        <v>1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6">
        <v>-1</v>
      </c>
      <c r="BC51" s="21">
        <v>0</v>
      </c>
      <c r="BD51" s="21">
        <v>0</v>
      </c>
      <c r="BE51" s="21">
        <v>0</v>
      </c>
      <c r="BF51" s="21">
        <v>0</v>
      </c>
      <c r="BG51" s="21">
        <v>0</v>
      </c>
      <c r="BH51" s="21">
        <v>0</v>
      </c>
      <c r="BI51" s="21">
        <v>0</v>
      </c>
      <c r="BJ51" s="21">
        <v>0</v>
      </c>
      <c r="BK51" s="21">
        <v>0</v>
      </c>
      <c r="BL51" s="5"/>
      <c r="BM51" s="5">
        <f t="shared" si="1"/>
        <v>0</v>
      </c>
      <c r="BN51" s="9" t="s">
        <v>100</v>
      </c>
      <c r="BO51" s="14">
        <v>0</v>
      </c>
    </row>
    <row r="52" spans="1:67" x14ac:dyDescent="0.2">
      <c r="A52" s="18"/>
      <c r="B52" s="18"/>
      <c r="C52" s="44"/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1</v>
      </c>
      <c r="S52" s="5">
        <v>1</v>
      </c>
      <c r="T52" s="5">
        <v>1</v>
      </c>
      <c r="U52" s="5">
        <v>0</v>
      </c>
      <c r="V52" s="5">
        <v>0</v>
      </c>
      <c r="W52" s="5">
        <v>0</v>
      </c>
      <c r="X52" s="5">
        <v>1</v>
      </c>
      <c r="Y52" s="5">
        <v>1</v>
      </c>
      <c r="Z52" s="5">
        <v>1</v>
      </c>
      <c r="AA52" s="5">
        <v>0</v>
      </c>
      <c r="AB52" s="5">
        <v>0</v>
      </c>
      <c r="AC52" s="5">
        <v>0</v>
      </c>
      <c r="AD52" s="5">
        <v>1</v>
      </c>
      <c r="AE52" s="5">
        <v>1</v>
      </c>
      <c r="AF52" s="5">
        <v>1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21">
        <v>0</v>
      </c>
      <c r="BC52" s="6">
        <v>-1</v>
      </c>
      <c r="BD52" s="21">
        <v>0</v>
      </c>
      <c r="BE52" s="21">
        <v>0</v>
      </c>
      <c r="BF52" s="21">
        <v>0</v>
      </c>
      <c r="BG52" s="21">
        <v>0</v>
      </c>
      <c r="BH52" s="21">
        <v>0</v>
      </c>
      <c r="BI52" s="21">
        <v>0</v>
      </c>
      <c r="BJ52" s="21">
        <v>0</v>
      </c>
      <c r="BK52" s="21">
        <v>0</v>
      </c>
      <c r="BL52" s="5"/>
      <c r="BM52" s="5">
        <f t="shared" si="1"/>
        <v>0</v>
      </c>
      <c r="BN52" s="9" t="s">
        <v>100</v>
      </c>
      <c r="BO52" s="14">
        <v>0</v>
      </c>
    </row>
    <row r="53" spans="1:67" x14ac:dyDescent="0.2">
      <c r="A53" s="18"/>
      <c r="B53" s="18"/>
      <c r="C53" s="44"/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1</v>
      </c>
      <c r="T53" s="5">
        <v>1</v>
      </c>
      <c r="U53" s="5">
        <v>1</v>
      </c>
      <c r="V53" s="5">
        <v>0</v>
      </c>
      <c r="W53" s="5">
        <v>0</v>
      </c>
      <c r="X53" s="5">
        <v>0</v>
      </c>
      <c r="Y53" s="5">
        <v>1</v>
      </c>
      <c r="Z53" s="5">
        <v>1</v>
      </c>
      <c r="AA53" s="5">
        <v>1</v>
      </c>
      <c r="AB53" s="5">
        <v>0</v>
      </c>
      <c r="AC53" s="5">
        <v>0</v>
      </c>
      <c r="AD53" s="5">
        <v>0</v>
      </c>
      <c r="AE53" s="5">
        <v>1</v>
      </c>
      <c r="AF53" s="5">
        <v>1</v>
      </c>
      <c r="AG53" s="5">
        <v>1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6">
        <v>-1</v>
      </c>
      <c r="BE53" s="21">
        <v>0</v>
      </c>
      <c r="BF53" s="21">
        <v>0</v>
      </c>
      <c r="BG53" s="21">
        <v>0</v>
      </c>
      <c r="BH53" s="21">
        <v>0</v>
      </c>
      <c r="BI53" s="21">
        <v>0</v>
      </c>
      <c r="BJ53" s="21">
        <v>0</v>
      </c>
      <c r="BK53" s="21">
        <v>0</v>
      </c>
      <c r="BL53" s="5"/>
      <c r="BM53" s="5">
        <f t="shared" si="1"/>
        <v>0</v>
      </c>
      <c r="BN53" s="9" t="s">
        <v>100</v>
      </c>
      <c r="BO53" s="14">
        <v>0</v>
      </c>
    </row>
    <row r="54" spans="1:67" x14ac:dyDescent="0.2">
      <c r="A54" s="18"/>
      <c r="B54" s="18"/>
      <c r="C54" s="44"/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1</v>
      </c>
      <c r="U54" s="5">
        <v>1</v>
      </c>
      <c r="V54" s="5">
        <v>0</v>
      </c>
      <c r="W54" s="5">
        <v>0</v>
      </c>
      <c r="X54" s="5">
        <v>0</v>
      </c>
      <c r="Y54" s="5">
        <v>0</v>
      </c>
      <c r="Z54" s="5">
        <v>1</v>
      </c>
      <c r="AA54" s="5">
        <v>1</v>
      </c>
      <c r="AB54" s="5">
        <v>0</v>
      </c>
      <c r="AC54" s="5">
        <v>0</v>
      </c>
      <c r="AD54" s="5">
        <v>0</v>
      </c>
      <c r="AE54" s="5">
        <v>0</v>
      </c>
      <c r="AF54" s="5">
        <v>1</v>
      </c>
      <c r="AG54" s="5">
        <v>1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6">
        <v>-1</v>
      </c>
      <c r="BF54" s="21">
        <v>0</v>
      </c>
      <c r="BG54" s="21">
        <v>0</v>
      </c>
      <c r="BH54" s="21">
        <v>0</v>
      </c>
      <c r="BI54" s="21">
        <v>0</v>
      </c>
      <c r="BJ54" s="21">
        <v>0</v>
      </c>
      <c r="BK54" s="21">
        <v>0</v>
      </c>
      <c r="BL54" s="5"/>
      <c r="BM54" s="5">
        <f t="shared" si="1"/>
        <v>0</v>
      </c>
      <c r="BN54" s="9" t="s">
        <v>100</v>
      </c>
      <c r="BO54" s="14">
        <v>0</v>
      </c>
    </row>
    <row r="55" spans="1:67" x14ac:dyDescent="0.2">
      <c r="A55" s="18"/>
      <c r="B55" s="18"/>
      <c r="C55" s="44"/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</v>
      </c>
      <c r="W55" s="5">
        <v>1</v>
      </c>
      <c r="X55" s="5">
        <v>0</v>
      </c>
      <c r="Y55" s="5">
        <v>0</v>
      </c>
      <c r="Z55" s="5">
        <v>0</v>
      </c>
      <c r="AA55" s="5">
        <v>0</v>
      </c>
      <c r="AB55" s="5">
        <v>1</v>
      </c>
      <c r="AC55" s="5">
        <v>1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6">
        <v>-1</v>
      </c>
      <c r="BG55" s="21">
        <v>0</v>
      </c>
      <c r="BH55" s="21">
        <v>0</v>
      </c>
      <c r="BI55" s="21">
        <v>0</v>
      </c>
      <c r="BJ55" s="21">
        <v>0</v>
      </c>
      <c r="BK55" s="21">
        <v>0</v>
      </c>
      <c r="BL55" s="5"/>
      <c r="BM55" s="5">
        <f t="shared" si="1"/>
        <v>0</v>
      </c>
      <c r="BN55" s="9" t="s">
        <v>100</v>
      </c>
      <c r="BO55" s="14">
        <v>0</v>
      </c>
    </row>
    <row r="56" spans="1:67" x14ac:dyDescent="0.2">
      <c r="A56" s="18"/>
      <c r="B56" s="18"/>
      <c r="C56" s="44"/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</v>
      </c>
      <c r="W56" s="5">
        <v>1</v>
      </c>
      <c r="X56" s="5">
        <v>1</v>
      </c>
      <c r="Y56" s="5">
        <v>0</v>
      </c>
      <c r="Z56" s="5">
        <v>0</v>
      </c>
      <c r="AA56" s="5">
        <v>0</v>
      </c>
      <c r="AB56" s="5">
        <v>1</v>
      </c>
      <c r="AC56" s="5">
        <v>1</v>
      </c>
      <c r="AD56" s="5">
        <v>1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6">
        <v>-1</v>
      </c>
      <c r="BH56" s="21">
        <v>0</v>
      </c>
      <c r="BI56" s="21">
        <v>0</v>
      </c>
      <c r="BJ56" s="21">
        <v>0</v>
      </c>
      <c r="BK56" s="21">
        <v>0</v>
      </c>
      <c r="BL56" s="5"/>
      <c r="BM56" s="5">
        <f t="shared" si="1"/>
        <v>0</v>
      </c>
      <c r="BN56" s="9" t="s">
        <v>100</v>
      </c>
      <c r="BO56" s="14">
        <v>0</v>
      </c>
    </row>
    <row r="57" spans="1:67" x14ac:dyDescent="0.2">
      <c r="A57" s="18"/>
      <c r="B57" s="18"/>
      <c r="C57" s="44"/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1</v>
      </c>
      <c r="X57" s="5">
        <v>1</v>
      </c>
      <c r="Y57" s="5">
        <v>1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5">
        <v>1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21">
        <v>0</v>
      </c>
      <c r="BH57" s="6">
        <v>-1</v>
      </c>
      <c r="BI57" s="21">
        <v>0</v>
      </c>
      <c r="BJ57" s="21">
        <v>0</v>
      </c>
      <c r="BK57" s="21">
        <v>0</v>
      </c>
      <c r="BL57" s="5"/>
      <c r="BM57" s="5">
        <f t="shared" si="1"/>
        <v>0</v>
      </c>
      <c r="BN57" s="9" t="s">
        <v>100</v>
      </c>
      <c r="BO57" s="14">
        <v>0</v>
      </c>
    </row>
    <row r="58" spans="1:67" x14ac:dyDescent="0.2">
      <c r="A58" s="18"/>
      <c r="B58" s="18"/>
      <c r="C58" s="44"/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1</v>
      </c>
      <c r="Y58" s="5">
        <v>1</v>
      </c>
      <c r="Z58" s="5">
        <v>1</v>
      </c>
      <c r="AA58" s="5">
        <v>0</v>
      </c>
      <c r="AB58" s="5">
        <v>0</v>
      </c>
      <c r="AC58" s="5">
        <v>0</v>
      </c>
      <c r="AD58" s="5">
        <v>1</v>
      </c>
      <c r="AE58" s="5">
        <v>1</v>
      </c>
      <c r="AF58" s="5">
        <v>1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21">
        <v>0</v>
      </c>
      <c r="BH58" s="21">
        <v>0</v>
      </c>
      <c r="BI58" s="6">
        <v>-1</v>
      </c>
      <c r="BJ58" s="21">
        <v>0</v>
      </c>
      <c r="BK58" s="21">
        <v>0</v>
      </c>
      <c r="BL58" s="5"/>
      <c r="BM58" s="5">
        <f t="shared" si="1"/>
        <v>0</v>
      </c>
      <c r="BN58" s="9" t="s">
        <v>100</v>
      </c>
      <c r="BO58" s="14">
        <v>0</v>
      </c>
    </row>
    <row r="59" spans="1:67" x14ac:dyDescent="0.2">
      <c r="A59" s="18"/>
      <c r="B59" s="18"/>
      <c r="C59" s="44"/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1</v>
      </c>
      <c r="Z59" s="5">
        <v>1</v>
      </c>
      <c r="AA59" s="5">
        <v>1</v>
      </c>
      <c r="AB59" s="5">
        <v>0</v>
      </c>
      <c r="AC59" s="5">
        <v>0</v>
      </c>
      <c r="AD59" s="5">
        <v>0</v>
      </c>
      <c r="AE59" s="5">
        <v>1</v>
      </c>
      <c r="AF59" s="5">
        <v>1</v>
      </c>
      <c r="AG59" s="5">
        <v>1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6">
        <v>-1</v>
      </c>
      <c r="BK59" s="21">
        <v>0</v>
      </c>
      <c r="BL59" s="5"/>
      <c r="BM59" s="5">
        <f t="shared" si="1"/>
        <v>0</v>
      </c>
      <c r="BN59" s="9" t="s">
        <v>100</v>
      </c>
      <c r="BO59" s="14">
        <v>0</v>
      </c>
    </row>
    <row r="60" spans="1:67" x14ac:dyDescent="0.2">
      <c r="A60" s="18"/>
      <c r="B60" s="18"/>
      <c r="C60" s="44"/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1</v>
      </c>
      <c r="AA60" s="5">
        <v>1</v>
      </c>
      <c r="AB60" s="5">
        <v>0</v>
      </c>
      <c r="AC60" s="5">
        <v>0</v>
      </c>
      <c r="AD60" s="5">
        <v>0</v>
      </c>
      <c r="AE60" s="5">
        <v>0</v>
      </c>
      <c r="AF60" s="5">
        <v>1</v>
      </c>
      <c r="AG60" s="5">
        <v>1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6">
        <v>-1</v>
      </c>
      <c r="BL60" s="5"/>
      <c r="BM60" s="5">
        <f>SUM(SUMPRODUCT($AH$4:$BK$4,D60:AG60), AH60:BK60)</f>
        <v>0</v>
      </c>
      <c r="BN60" s="9" t="s">
        <v>100</v>
      </c>
      <c r="BO60" s="14">
        <v>0</v>
      </c>
    </row>
    <row r="61" spans="1:67" x14ac:dyDescent="0.2">
      <c r="A61" s="18"/>
      <c r="B61" s="18"/>
      <c r="C61" s="27"/>
      <c r="D61" s="4">
        <v>1</v>
      </c>
      <c r="E61" s="4">
        <v>1</v>
      </c>
      <c r="F61" s="4">
        <v>1</v>
      </c>
      <c r="G61" s="4">
        <v>1</v>
      </c>
      <c r="H61" s="4">
        <v>1</v>
      </c>
      <c r="I61" s="4">
        <v>1</v>
      </c>
      <c r="J61" s="4">
        <v>1</v>
      </c>
      <c r="K61" s="4">
        <v>1</v>
      </c>
      <c r="L61" s="4">
        <v>1</v>
      </c>
      <c r="M61" s="4">
        <v>1</v>
      </c>
      <c r="N61" s="4">
        <v>1</v>
      </c>
      <c r="O61" s="4">
        <v>1</v>
      </c>
      <c r="P61" s="4">
        <v>1</v>
      </c>
      <c r="Q61" s="4">
        <v>1</v>
      </c>
      <c r="R61" s="4">
        <v>1</v>
      </c>
      <c r="S61" s="4">
        <v>1</v>
      </c>
      <c r="T61" s="4">
        <v>1</v>
      </c>
      <c r="U61" s="4">
        <v>1</v>
      </c>
      <c r="V61" s="4">
        <v>1</v>
      </c>
      <c r="W61" s="4">
        <v>1</v>
      </c>
      <c r="X61" s="4">
        <v>1</v>
      </c>
      <c r="Y61" s="4">
        <v>1</v>
      </c>
      <c r="Z61" s="4">
        <v>1</v>
      </c>
      <c r="AA61" s="4">
        <v>1</v>
      </c>
      <c r="AB61" s="4">
        <v>1</v>
      </c>
      <c r="AC61" s="4">
        <v>1</v>
      </c>
      <c r="AD61" s="4">
        <v>1</v>
      </c>
      <c r="AE61" s="4">
        <v>1</v>
      </c>
      <c r="AF61" s="4">
        <v>1</v>
      </c>
      <c r="AG61" s="4">
        <v>1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0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  <c r="BG61" s="4">
        <v>0</v>
      </c>
      <c r="BH61" s="4">
        <v>0</v>
      </c>
      <c r="BI61" s="4">
        <v>0</v>
      </c>
      <c r="BJ61" s="4">
        <v>0</v>
      </c>
      <c r="BK61" s="7">
        <v>0</v>
      </c>
      <c r="BL61" s="5"/>
      <c r="BM61" s="5">
        <f>SUM(SUMPRODUCT($AH$4:$BK$4,D61:AG61), AH61:BK61)</f>
        <v>5</v>
      </c>
      <c r="BN61" s="11" t="s">
        <v>95</v>
      </c>
      <c r="BO61" s="16">
        <v>5</v>
      </c>
    </row>
    <row r="62" spans="1:67" ht="16" customHeight="1" x14ac:dyDescent="0.2">
      <c r="A62" s="18"/>
      <c r="B62" s="18"/>
      <c r="C62" s="4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9"/>
      <c r="BO62" s="14"/>
    </row>
    <row r="63" spans="1:67" x14ac:dyDescent="0.2">
      <c r="A63" s="18"/>
      <c r="B63" s="18"/>
      <c r="C63" s="4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9"/>
      <c r="BO63" s="14"/>
    </row>
    <row r="64" spans="1:67" x14ac:dyDescent="0.2">
      <c r="A64" s="18"/>
      <c r="B64" s="18"/>
      <c r="C64" s="4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9"/>
      <c r="BO64" s="14"/>
    </row>
    <row r="65" spans="1:67" ht="17" thickBot="1" x14ac:dyDescent="0.25">
      <c r="A65" s="18"/>
      <c r="B65" s="18"/>
      <c r="C65" s="46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12"/>
      <c r="BO65" s="17"/>
    </row>
  </sheetData>
  <scenarios current="0">
    <scenario name="solver 1" count="30" user="Muhammad Ahmed Ehtisham" comment="Created by Muhammad Ahmed Ehtisham on 12/5/2021">
      <inputCells r="AH4" val="0"/>
      <inputCells r="AI4" val="1"/>
      <inputCells r="AJ4" val="0"/>
      <inputCells r="AK4" val="0"/>
      <inputCells r="AL4" val="1"/>
      <inputCells r="AM4" val="0"/>
      <inputCells r="AN4" val="0"/>
      <inputCells r="AO4" val="1"/>
      <inputCells r="AP4" val="0"/>
      <inputCells r="AQ4" val="0"/>
      <inputCells r="AR4" val="1"/>
      <inputCells r="AS4" val="0"/>
      <inputCells r="AT4" val="0"/>
      <inputCells r="AU4" val="0"/>
      <inputCells r="AV4" val="0"/>
      <inputCells r="AW4" val="0"/>
      <inputCells r="AX4" val="0"/>
      <inputCells r="AY4" val="0"/>
      <inputCells r="AZ4" val="0"/>
      <inputCells r="BA4" val="0"/>
      <inputCells r="BB4" val="1"/>
      <inputCells r="BC4" val="0"/>
      <inputCells r="BD4" val="0"/>
      <inputCells r="BE4" val="0"/>
      <inputCells r="BF4" val="0"/>
      <inputCells r="BG4" val="1"/>
      <inputCells r="BH4" val="0"/>
      <inputCells r="BI4" val="0"/>
      <inputCells r="BJ4" val="0"/>
      <inputCells r="BK4" val="1"/>
    </scenario>
    <scenario name="hh" count="30" user="Muhammad Ahmed Ehtisham" comment="Created by Muhammad Ahmed Ehtisham on 12/5/2021">
      <inputCells r="AH4" val="0"/>
      <inputCells r="AI4" val="1"/>
      <inputCells r="AJ4" val="0"/>
      <inputCells r="AK4" val="0"/>
      <inputCells r="AL4" val="1"/>
      <inputCells r="AM4" val="-9.99999999999265E-07"/>
      <inputCells r="AN4" val="6.66666666740682E-07"/>
      <inputCells r="AO4" val="0"/>
      <inputCells r="AP4" val="3.33333333370341E-07"/>
      <inputCells r="AQ4" val="0"/>
      <inputCells r="AR4" val="1"/>
      <inputCells r="AS4" val="0"/>
      <inputCells r="AT4" val="0"/>
      <inputCells r="AU4" val="0"/>
      <inputCells r="AV4" val="0"/>
      <inputCells r="AW4" val="0"/>
      <inputCells r="AX4" val="0"/>
      <inputCells r="AY4" val="0"/>
      <inputCells r="AZ4" val="0"/>
      <inputCells r="BA4" val="0"/>
      <inputCells r="BB4" val="0"/>
      <inputCells r="BC4" val="0"/>
      <inputCells r="BD4" val="0"/>
      <inputCells r="BE4" val="0"/>
      <inputCells r="BF4" val="0"/>
      <inputCells r="BG4" val="1"/>
      <inputCells r="BH4" val="0"/>
      <inputCells r="BI4" val="0"/>
      <inputCells r="BJ4" val="1"/>
      <inputCells r="BK4" val="0"/>
    </scenario>
  </scenarios>
  <mergeCells count="2">
    <mergeCell ref="C31:C60"/>
    <mergeCell ref="C62:C6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 Sheet </vt:lpstr>
      <vt:lpstr>Demand</vt:lpstr>
      <vt:lpstr>Main Sheet - Solver run</vt:lpstr>
      <vt:lpstr>Main Sheet 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Ahmed Ehtisham</dc:creator>
  <cp:lastModifiedBy>Muhammad Ahmed Ehtisham</cp:lastModifiedBy>
  <dcterms:created xsi:type="dcterms:W3CDTF">2021-12-01T20:04:57Z</dcterms:created>
  <dcterms:modified xsi:type="dcterms:W3CDTF">2021-12-10T18:22:47Z</dcterms:modified>
</cp:coreProperties>
</file>