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hmedehtisham/Desktop/LUMS/DISC 322/Project /"/>
    </mc:Choice>
  </mc:AlternateContent>
  <xr:revisionPtr revIDLastSave="0" documentId="13_ncr:1_{5383CD09-56B7-8E44-8517-E66AE47651F7}" xr6:coauthVersionLast="47" xr6:coauthVersionMax="47" xr10:uidLastSave="{00000000-0000-0000-0000-000000000000}"/>
  <bookViews>
    <workbookView xWindow="0" yWindow="0" windowWidth="28800" windowHeight="18000" activeTab="4" xr2:uid="{71E3269A-DC75-CD48-A4A7-4E1AEBDCB7EA}"/>
  </bookViews>
  <sheets>
    <sheet name="Question prompt" sheetId="1" r:id="rId1"/>
    <sheet name="LP Formulation " sheetId="2" r:id="rId2"/>
    <sheet name=" LP - Solver" sheetId="9" r:id="rId3"/>
    <sheet name="Sensitivity Report 1" sheetId="14" r:id="rId4"/>
    <sheet name="Answer Report 1" sheetId="13" r:id="rId5"/>
  </sheets>
  <definedNames>
    <definedName name="solver_adj" localSheetId="2" hidden="1">' LP - Solver'!$F$8:$N$8</definedName>
    <definedName name="solver_cvg" localSheetId="2" hidden="1">0.0001</definedName>
    <definedName name="solver_drv" localSheetId="2" hidden="1">1</definedName>
    <definedName name="solver_eng" localSheetId="2" hidden="1">2</definedName>
    <definedName name="solver_itr" localSheetId="2" hidden="1">2147483647</definedName>
    <definedName name="solver_lhs1" localSheetId="2" hidden="1">' LP - Solver'!$O$11:$O$19</definedName>
    <definedName name="solver_lin" localSheetId="2" hidden="1">1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1</definedName>
    <definedName name="solver_opt" localSheetId="2" hidden="1">' LP - Solver'!$Q$9</definedName>
    <definedName name="solver_pre" localSheetId="2" hidden="1">0.000001</definedName>
    <definedName name="solver_rbv" localSheetId="2" hidden="1">1</definedName>
    <definedName name="solver_rel1" localSheetId="2" hidden="1">1</definedName>
    <definedName name="solver_rhs1" localSheetId="2" hidden="1">' LP - Solver'!$Q$11:$Q$19</definedName>
    <definedName name="solver_rlx" localSheetId="2" hidden="1">1</definedName>
    <definedName name="solver_rsd" localSheetId="2" hidden="1">0</definedName>
    <definedName name="solver_scl" localSheetId="2" hidden="1">2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1</definedName>
    <definedName name="solver_val" localSheetId="2" hidden="1">0</definedName>
    <definedName name="solver_ver" localSheetId="2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63" i="2" l="1"/>
  <c r="N62" i="2"/>
  <c r="M62" i="2"/>
  <c r="N61" i="2"/>
  <c r="M61" i="2"/>
  <c r="M60" i="2"/>
  <c r="M59" i="2"/>
  <c r="M58" i="2"/>
  <c r="M57" i="2"/>
  <c r="M56" i="2"/>
  <c r="M55" i="2"/>
  <c r="N53" i="2"/>
  <c r="Q18" i="9"/>
  <c r="O19" i="9"/>
  <c r="O18" i="9"/>
  <c r="Q17" i="9"/>
  <c r="O17" i="9"/>
  <c r="O16" i="9"/>
  <c r="O15" i="9"/>
  <c r="O14" i="9"/>
  <c r="O13" i="9"/>
  <c r="O12" i="9"/>
  <c r="O11" i="9"/>
  <c r="Q9" i="9"/>
  <c r="O34" i="2"/>
  <c r="H34" i="2"/>
  <c r="I34" i="2"/>
  <c r="J34" i="2"/>
  <c r="K34" i="2"/>
  <c r="L34" i="2"/>
  <c r="M34" i="2"/>
  <c r="N34" i="2"/>
  <c r="G34" i="2"/>
  <c r="Q9" i="2"/>
  <c r="Q10" i="2"/>
  <c r="Q11" i="2"/>
  <c r="Q12" i="2"/>
  <c r="Q13" i="2"/>
  <c r="Q14" i="2"/>
  <c r="Q15" i="2"/>
  <c r="Q16" i="2"/>
  <c r="Q17" i="2"/>
  <c r="Q18" i="2"/>
  <c r="Q21" i="2"/>
  <c r="Q22" i="2"/>
  <c r="Q24" i="2"/>
  <c r="Q25" i="2"/>
  <c r="Q8" i="2"/>
  <c r="Q7" i="2"/>
  <c r="Q6" i="2"/>
  <c r="N23" i="2"/>
  <c r="O23" i="2"/>
  <c r="H23" i="2"/>
  <c r="I23" i="2"/>
  <c r="J23" i="2"/>
  <c r="K23" i="2"/>
  <c r="L23" i="2"/>
  <c r="L26" i="2" s="1"/>
  <c r="L27" i="2" s="1"/>
  <c r="L28" i="2" s="1"/>
  <c r="D43" i="2" s="1"/>
  <c r="M23" i="2"/>
  <c r="G23" i="2"/>
  <c r="H20" i="2"/>
  <c r="I20" i="2"/>
  <c r="J20" i="2"/>
  <c r="K20" i="2"/>
  <c r="L20" i="2"/>
  <c r="M20" i="2"/>
  <c r="N20" i="2"/>
  <c r="O20" i="2"/>
  <c r="G20" i="2"/>
  <c r="I19" i="2"/>
  <c r="J19" i="2"/>
  <c r="K19" i="2"/>
  <c r="L19" i="2"/>
  <c r="M19" i="2"/>
  <c r="N19" i="2"/>
  <c r="O19" i="2"/>
  <c r="H19" i="2"/>
  <c r="G19" i="2"/>
  <c r="D11" i="2"/>
  <c r="D13" i="2" s="1"/>
  <c r="Q19" i="2" l="1"/>
  <c r="Q23" i="2"/>
  <c r="Q20" i="2"/>
  <c r="K26" i="2"/>
  <c r="K27" i="2" s="1"/>
  <c r="K28" i="2" s="1"/>
  <c r="D42" i="2" s="1"/>
  <c r="J26" i="2"/>
  <c r="J27" i="2" s="1"/>
  <c r="J28" i="2" s="1"/>
  <c r="D41" i="2" s="1"/>
  <c r="H26" i="2"/>
  <c r="H27" i="2" s="1"/>
  <c r="H28" i="2" s="1"/>
  <c r="D39" i="2" s="1"/>
  <c r="M26" i="2"/>
  <c r="M27" i="2" s="1"/>
  <c r="M28" i="2" s="1"/>
  <c r="D44" i="2" s="1"/>
  <c r="G26" i="2"/>
  <c r="G27" i="2" s="1"/>
  <c r="G28" i="2" s="1"/>
  <c r="D38" i="2" s="1"/>
  <c r="I26" i="2"/>
  <c r="I27" i="2" s="1"/>
  <c r="I28" i="2" s="1"/>
  <c r="D40" i="2" s="1"/>
  <c r="O26" i="2"/>
  <c r="O27" i="2" s="1"/>
  <c r="O28" i="2" s="1"/>
  <c r="D46" i="2" s="1"/>
  <c r="N26" i="2"/>
  <c r="N27" i="2" s="1"/>
  <c r="N28" i="2" s="1"/>
  <c r="D45" i="2" s="1"/>
</calcChain>
</file>

<file path=xl/sharedStrings.xml><?xml version="1.0" encoding="utf-8"?>
<sst xmlns="http://schemas.openxmlformats.org/spreadsheetml/2006/main" count="424" uniqueCount="226">
  <si>
    <t xml:space="preserve">Identify an opportunity for improvement in a real (and registered) organization, and apply optimization models discussed in our course to develop a set of recommendations for the organization. </t>
  </si>
  <si>
    <t xml:space="preserve">Cost of steel sheet </t>
  </si>
  <si>
    <t>240700/ton</t>
  </si>
  <si>
    <t xml:space="preserve">electricty </t>
  </si>
  <si>
    <t xml:space="preserve">income tax and markup </t>
  </si>
  <si>
    <t xml:space="preserve">basic price </t>
  </si>
  <si>
    <t xml:space="preserve">general sales tax </t>
  </si>
  <si>
    <t xml:space="preserve">total price of empty barrel </t>
  </si>
  <si>
    <t xml:space="preserve">Domestic Purchases </t>
  </si>
  <si>
    <t>Goods supplied locally</t>
  </si>
  <si>
    <t>300000 kg</t>
  </si>
  <si>
    <t>10000kg SS</t>
  </si>
  <si>
    <t xml:space="preserve">240/kg steel </t>
  </si>
  <si>
    <t>800/kg SS</t>
  </si>
  <si>
    <t xml:space="preserve">Cost </t>
  </si>
  <si>
    <t>Types</t>
  </si>
  <si>
    <t>Weight (kg)</t>
  </si>
  <si>
    <t xml:space="preserve">Chemical drum (205 Litre) lecquerd drum </t>
  </si>
  <si>
    <t>Juice drum (open mouth) (205litre)</t>
  </si>
  <si>
    <t>Mobil oil drum (205 litre)</t>
  </si>
  <si>
    <t>Bitchumen drum (165litre)</t>
  </si>
  <si>
    <t>Atomic drum (225 litre)</t>
  </si>
  <si>
    <t>Army specific. (heavy) (250 Litre)</t>
  </si>
  <si>
    <t>Stainless steel drum (240 Litre)</t>
  </si>
  <si>
    <t>Carboid/castic drum open mouth (120 Litre)</t>
  </si>
  <si>
    <t>Paint drum (50 Litre)</t>
  </si>
  <si>
    <t>Steel</t>
  </si>
  <si>
    <t>Caps large</t>
  </si>
  <si>
    <t>Caps small</t>
  </si>
  <si>
    <t>Flendges small</t>
  </si>
  <si>
    <t>Flendges large</t>
  </si>
  <si>
    <t>Rubber washer small</t>
  </si>
  <si>
    <t xml:space="preserve">Rubber washer large </t>
  </si>
  <si>
    <t>Steel ring</t>
  </si>
  <si>
    <t xml:space="preserve">Steel bolts </t>
  </si>
  <si>
    <t>Paint</t>
  </si>
  <si>
    <t xml:space="preserve">Lecquer </t>
  </si>
  <si>
    <t xml:space="preserve">Wrapping corregated  </t>
  </si>
  <si>
    <t xml:space="preserve">Electricty </t>
  </si>
  <si>
    <t xml:space="preserve">Gas </t>
  </si>
  <si>
    <t>Chemical (thinner)</t>
  </si>
  <si>
    <t xml:space="preserve">Labour </t>
  </si>
  <si>
    <t xml:space="preserve">Machine </t>
  </si>
  <si>
    <t xml:space="preserve">Overhead/hidden expense </t>
  </si>
  <si>
    <t>Tin seal small</t>
  </si>
  <si>
    <t xml:space="preserve">Tin seal large </t>
  </si>
  <si>
    <t xml:space="preserve">Price </t>
  </si>
  <si>
    <t>Price (12.5% markup)</t>
  </si>
  <si>
    <t xml:space="preserve">Amount </t>
  </si>
  <si>
    <t>Availibility in PKR</t>
  </si>
  <si>
    <t xml:space="preserve">per labour </t>
  </si>
  <si>
    <t xml:space="preserve">15000/35 </t>
  </si>
  <si>
    <t>saalary25000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</si>
  <si>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</si>
  <si>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</si>
  <si>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</si>
  <si>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</si>
  <si>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</si>
  <si>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</si>
  <si>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</si>
  <si>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</si>
  <si>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</si>
  <si>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Quantity</t>
  </si>
  <si>
    <t xml:space="preserve">Coefficients </t>
  </si>
  <si>
    <t>profit/drum</t>
  </si>
  <si>
    <t xml:space="preserve">Profit </t>
  </si>
  <si>
    <t>MAX</t>
  </si>
  <si>
    <t xml:space="preserve">1 tonn. sheet </t>
  </si>
  <si>
    <t>50drums</t>
  </si>
  <si>
    <t>Waste 10% Included</t>
  </si>
  <si>
    <t>2 plants</t>
  </si>
  <si>
    <t>1 standby</t>
  </si>
  <si>
    <t xml:space="preserve">450 drums </t>
  </si>
  <si>
    <t>over time - lab our cost 1.5</t>
  </si>
  <si>
    <t xml:space="preserve">25 days a month </t>
  </si>
  <si>
    <t>max 600 drum/day</t>
  </si>
  <si>
    <t xml:space="preserve">Stainless Steel </t>
  </si>
  <si>
    <t>Microsoft Excel 16.67 Answer Report</t>
  </si>
  <si>
    <t>Result: Solver found a solution.  All constraints and optimality conditions are satisfied.</t>
  </si>
  <si>
    <t>Solver Engine</t>
  </si>
  <si>
    <t>Engine: Simplex LP</t>
  </si>
  <si>
    <t>Solver Options</t>
  </si>
  <si>
    <t>Max Subproblems Unlimited, Max Integer Sols Unlimited, Integer Tolerance 1%, Solve Without Integer Constraints, Assume NonNegative</t>
  </si>
  <si>
    <t>Objective Cell (Max)</t>
  </si>
  <si>
    <t>Cell</t>
  </si>
  <si>
    <t>Name</t>
  </si>
  <si>
    <t>Original Value</t>
  </si>
  <si>
    <t>Final Value</t>
  </si>
  <si>
    <t>Variable Cells</t>
  </si>
  <si>
    <t>Integer</t>
  </si>
  <si>
    <t>Constraints</t>
  </si>
  <si>
    <t>Cell Value</t>
  </si>
  <si>
    <t>Formula</t>
  </si>
  <si>
    <t>Status</t>
  </si>
  <si>
    <t>Slack</t>
  </si>
  <si>
    <t>$F$8</t>
  </si>
  <si>
    <t>Contin</t>
  </si>
  <si>
    <t>$G$8</t>
  </si>
  <si>
    <t>$H$8</t>
  </si>
  <si>
    <t>$I$8</t>
  </si>
  <si>
    <t>$J$8</t>
  </si>
  <si>
    <t>$K$8</t>
  </si>
  <si>
    <t>$L$8</t>
  </si>
  <si>
    <t>$M$8</t>
  </si>
  <si>
    <t>$N$8</t>
  </si>
  <si>
    <t>$O$11</t>
  </si>
  <si>
    <t>Not Binding</t>
  </si>
  <si>
    <t>$O$12</t>
  </si>
  <si>
    <t>Binding</t>
  </si>
  <si>
    <t>$O$13</t>
  </si>
  <si>
    <t>$O$14</t>
  </si>
  <si>
    <t>$O$15</t>
  </si>
  <si>
    <t>$O$16</t>
  </si>
  <si>
    <t>$O$17</t>
  </si>
  <si>
    <t>$O$18</t>
  </si>
  <si>
    <t>$O$19</t>
  </si>
  <si>
    <t>Microsoft Excel 16.67 Sensitivity Report</t>
  </si>
  <si>
    <t>Final</t>
  </si>
  <si>
    <t>Value</t>
  </si>
  <si>
    <t>Reduced</t>
  </si>
  <si>
    <t>Cost</t>
  </si>
  <si>
    <t>Objective</t>
  </si>
  <si>
    <t>Coefficient</t>
  </si>
  <si>
    <t>Allowable</t>
  </si>
  <si>
    <t>Increase</t>
  </si>
  <si>
    <t>Decrease</t>
  </si>
  <si>
    <t>Shadow</t>
  </si>
  <si>
    <t>Price</t>
  </si>
  <si>
    <t>Constraint</t>
  </si>
  <si>
    <t>R.H. Side</t>
  </si>
  <si>
    <t xml:space="preserve">kg </t>
  </si>
  <si>
    <t>chemical drum raw material steel</t>
  </si>
  <si>
    <t>50 tonn</t>
  </si>
  <si>
    <t xml:space="preserve">bitchumen </t>
  </si>
  <si>
    <t>150 tonn</t>
  </si>
  <si>
    <t>max</t>
  </si>
  <si>
    <t>labour hrs mx</t>
  </si>
  <si>
    <t xml:space="preserve">lecquer </t>
  </si>
  <si>
    <t>poroduction mx</t>
  </si>
  <si>
    <t xml:space="preserve">22000 drum </t>
  </si>
  <si>
    <t>1lite/350</t>
  </si>
  <si>
    <t xml:space="preserve">atomic drum max ordeer </t>
  </si>
  <si>
    <t>bitchumen drum max orderr</t>
  </si>
  <si>
    <t xml:space="preserve">steel </t>
  </si>
  <si>
    <t>300 tonn</t>
  </si>
  <si>
    <t>stainless steel</t>
  </si>
  <si>
    <t xml:space="preserve">Chemical Drum spec. steel </t>
  </si>
  <si>
    <t xml:space="preserve">Bitchumen Drum spec.Steel </t>
  </si>
  <si>
    <t xml:space="preserve">Litre </t>
  </si>
  <si>
    <t>Drum Quantity</t>
  </si>
  <si>
    <t xml:space="preserve">Total monthly order </t>
  </si>
  <si>
    <t xml:space="preserve">Drum Quantity </t>
  </si>
  <si>
    <t>Bitchumen drum Maximum order, monthly</t>
  </si>
  <si>
    <t xml:space="preserve">Atomic drum Maximum order, monthly  </t>
  </si>
  <si>
    <t>10 hrs a day</t>
  </si>
  <si>
    <t xml:space="preserve">25 days </t>
  </si>
  <si>
    <t>100/hr</t>
  </si>
  <si>
    <t xml:space="preserve">labour hours </t>
  </si>
  <si>
    <t>Hours</t>
  </si>
  <si>
    <t xml:space="preserve">Labour Hours, monthly </t>
  </si>
  <si>
    <t>≤</t>
  </si>
  <si>
    <t>Worksheet: [Project_Group_4.xlsm] New LP - Solver</t>
  </si>
  <si>
    <t>Iterations: 5 Subproblems: 0</t>
  </si>
  <si>
    <t>Max Time Unlimited, Iterations Unlimited, Precision 0.000001</t>
  </si>
  <si>
    <t>$Q$9</t>
  </si>
  <si>
    <t>$O$11&lt;=$Q$11</t>
  </si>
  <si>
    <t>$O$12&lt;=$Q$12</t>
  </si>
  <si>
    <t>$O$13&lt;=$Q$13</t>
  </si>
  <si>
    <t>$O$14&lt;=$Q$14</t>
  </si>
  <si>
    <t>$O$15&lt;=$Q$15</t>
  </si>
  <si>
    <t>$O$16&lt;=$Q$16</t>
  </si>
  <si>
    <t>$O$17&lt;=$Q$17</t>
  </si>
  <si>
    <t>$O$18&lt;=$Q$18</t>
  </si>
  <si>
    <t>$O$19&lt;=$Q$19</t>
  </si>
  <si>
    <t>Objective Function:         MAX Z = 557.5 X1 + 657.1 X2 + 781.6 X3 + 704.6 X4 + 952.03 X5 + 1551.3 X6 + 7117.9 X7 + 299.1 X8 + 158 X9</t>
  </si>
  <si>
    <t xml:space="preserve">Z = Profit </t>
  </si>
  <si>
    <t xml:space="preserve">Profit Maximazation </t>
  </si>
  <si>
    <t xml:space="preserve">Steel Constraint </t>
  </si>
  <si>
    <t>Maximum steel that is bought in a month due to capital and availibility limitation is 300 tonnes or 300,000 kgs</t>
  </si>
  <si>
    <t xml:space="preserve">Stainless Steel Constraint </t>
  </si>
  <si>
    <t>Maximum stainless steel that is bought in a month due to availibility limitation is 10 tonnes or 10,000 kgs</t>
  </si>
  <si>
    <t xml:space="preserve">Chemical drum speific Steel Constraint </t>
  </si>
  <si>
    <t xml:space="preserve">Bitchumen drum speific Steel Constraint </t>
  </si>
  <si>
    <t>Maximum steel that is bought for the chemical drum (specific steel sheet used to produce this drum) in a month due to availibility limitation is 50 tonnes or 50,000 kgs</t>
  </si>
  <si>
    <t>Maximum steel that is bought for the Bitchumen drum (specific steel sheet used to produce this drum) in a month due to availibility limitation is 150 tonnes or 150,000 kgs</t>
  </si>
  <si>
    <t xml:space="preserve">Maximum litres of lecquer that can be bought within a month used in some drums to layer the inside - availibilty limitation - 1.500,000 litres </t>
  </si>
  <si>
    <t xml:space="preserve">Total Monthly Order </t>
  </si>
  <si>
    <t xml:space="preserve">Maximum number of drums that can be produced in a month by using two plants (inside the factory) - capital limitation - 22000 drums </t>
  </si>
  <si>
    <t xml:space="preserve">Maximum number of atomic drums that can be produced and sold to the Atomic Energy of Pakistan - the sole buyer of the drum - maximum number of drums they demand is 750 drums a month </t>
  </si>
  <si>
    <t>Maximum number of labour hours available in a month (60 workers - working 10 hours a day, 25 days a month) is 15000 hours/monthly</t>
  </si>
  <si>
    <t xml:space="preserve">Steel weight used per drum in kg </t>
  </si>
  <si>
    <t xml:space="preserve">Stainless Steel weight used per drum in kg </t>
  </si>
  <si>
    <t xml:space="preserve">Chemical Drum specific Steel weight used per drum in kg </t>
  </si>
  <si>
    <t xml:space="preserve">Bitchumen Drum specific Steel weight used per drum in kg </t>
  </si>
  <si>
    <t xml:space="preserve">Litres of lecquer used per drum </t>
  </si>
  <si>
    <t xml:space="preserve">unit </t>
  </si>
  <si>
    <t xml:space="preserve">Drum Quantity maximum monthly production/order </t>
  </si>
  <si>
    <t xml:space="preserve">labour hours required to produce 1 unit </t>
  </si>
  <si>
    <t xml:space="preserve">Company can maximum buy 300 tonnes of steel a month due to capital constraint </t>
  </si>
  <si>
    <t>10 tonn/ 10000 kg max</t>
  </si>
  <si>
    <t xml:space="preserve">Company can maximum buy 10 tonnes of stainless steel a month because of limited capital and limited supply (the only supplier cannot supply more than this </t>
  </si>
  <si>
    <t xml:space="preserve">Company can maximum buy 50 tonnes of steel a month for chemical drum because there is no more supply of raw material for this type of drum </t>
  </si>
  <si>
    <t xml:space="preserve">Company can maximum buy 150 tonnes of steel a month for bitchumen drum because there is no more supply of raw material for this type of drum </t>
  </si>
  <si>
    <t xml:space="preserve">Maximum labour hired is 60 (at capacity) - more labours can not be hired because of capital/machinery constraint - 60 labours work 10 hours a day for 25 days a month. Hence maximum hours a month are 15000 hours exluding overtime </t>
  </si>
  <si>
    <t xml:space="preserve">Company can maximum buy 1,500,000 litres of lecquer a month due to availibilty limitation - suppliers cannot supply more than this  </t>
  </si>
  <si>
    <t xml:space="preserve">Maximum number of drums that can be produced in a month are 22,000 due to plant/machinery cosntraint - 2 plants availble in the factory that combined (one plant operates at a time and the other one breaks) cannot produce more than this within the wokring hours  </t>
  </si>
  <si>
    <t>9000/12 per month</t>
  </si>
  <si>
    <t xml:space="preserve">1200000/12 per month </t>
  </si>
  <si>
    <t>Report Created: 27/11/2022 00:20:30</t>
  </si>
  <si>
    <t>Solution Time: 603.398 Seconds.</t>
  </si>
  <si>
    <t>Report Created: 27/11/2022 00:20:31</t>
  </si>
  <si>
    <t xml:space="preserve">Company will maximum produce 9000 drums/yearly or 750 drums/monthly because the only buyer (The Atomic Energy of Pakistan) does not require more than this </t>
  </si>
  <si>
    <t xml:space="preserve">Company will maximum produce 120000 drums/yearly or 10,000 drums/monthly because the only buyer (Attock Refinery) does not require more than this </t>
  </si>
  <si>
    <t xml:space="preserve">Maximum number of Bitchumen drums that can be produced and sold to the Attock Refinery - the sole buyer of the drum - maximum number of drums they demand is 10,000 drums a month </t>
  </si>
  <si>
    <t>0X1 + 20X2 + 20X3 + 0X4 + 25X5 + 40X6 + 0X7 + 10X8 + 5X9 ≤ 300,000</t>
  </si>
  <si>
    <t>0X1 + 0X2 + 0X3 + 0X4 + 0X5 + 0X6 + 20X7 + 0X8 + 0X9 ≤ 10,000</t>
  </si>
  <si>
    <t>0X1 + 0X2 + 0X3 + 20X4 + 0X5 + 0X6 + 0X7 + 0X8 + 0X9 ≤ 50,000</t>
  </si>
  <si>
    <t>20X1 + 0X2 + 0X3 + 0X4 + 0X5 + 0X6 + 0X7 + 0X8 + 0X9 ≤ 150,000</t>
  </si>
  <si>
    <t>0X1 + 0X2 + 0X3 + X4 + X5 + X6 + 0X7 + 0X8 + 0X9 ≤ 1,500,000</t>
  </si>
  <si>
    <t>X1 + X2 + X3 + X4 + X5 + X6 + X7 + X8 + X9 ≤ 22,000</t>
  </si>
  <si>
    <t>0X1 + 0X2 + 0X3 + 0X4 + X5 + 0X6 + 0X7 + 0X8 + 0X9 ≤ 750</t>
  </si>
  <si>
    <t>X1 + 0X2 + 0X3 + 0X4 + 0X5 + 0X6 + 0X7 + 0X8 + 0X9 ≤ 10,000</t>
  </si>
  <si>
    <t>0.5X1 + X2 + 1.5X3 + X4 + 2X5 + 3X6 + 6X7 + 0.5X8 + 0.25X9 ≤ 15,000</t>
  </si>
  <si>
    <t xml:space="preserve">CONSTRAINTS </t>
  </si>
  <si>
    <t xml:space="preserve">Transport charges </t>
  </si>
  <si>
    <t xml:space="preserve">Labour charges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</si>
</sst>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20"/>
      <color rgb="FF1E1E1E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6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23"/>
      </top>
      <bottom/>
      <diagonal/>
    </border>
    <border>
      <left/>
      <right/>
      <top/>
      <bottom style="medium">
        <color indexed="23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/>
      <diagonal/>
    </border>
  </borders>
  <cellStyleXfs count="1">
    <xf numFmtId="0" fontId="0" fillId="0" borderId="0"/>
  </cellStyleXfs>
  <cellXfs count="79">
    <xf numFmtId="0" fontId="0" fillId="0" borderId="0" xfId="0"/>
    <xf numFmtId="0" fontId="2" fillId="0" borderId="10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3" fontId="2" fillId="0" borderId="4" xfId="0" applyNumberFormat="1" applyFont="1" applyBorder="1" applyAlignment="1">
      <alignment horizontal="center" vertical="center"/>
    </xf>
    <xf numFmtId="3" fontId="2" fillId="0" borderId="9" xfId="0" applyNumberFormat="1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4" fillId="0" borderId="0" xfId="0" applyFont="1"/>
    <xf numFmtId="0" fontId="0" fillId="0" borderId="19" xfId="0" applyBorder="1"/>
    <xf numFmtId="0" fontId="6" fillId="0" borderId="18" xfId="0" applyFont="1" applyBorder="1" applyAlignment="1">
      <alignment horizontal="center"/>
    </xf>
    <xf numFmtId="0" fontId="0" fillId="0" borderId="20" xfId="0" applyBorder="1"/>
    <xf numFmtId="0" fontId="6" fillId="0" borderId="16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2" fillId="0" borderId="15" xfId="0" applyFont="1" applyBorder="1" applyAlignment="1">
      <alignment horizontal="center" vertical="center"/>
    </xf>
    <xf numFmtId="3" fontId="2" fillId="0" borderId="0" xfId="0" applyNumberFormat="1" applyFont="1" applyAlignment="1">
      <alignment horizontal="center" vertical="center"/>
    </xf>
    <xf numFmtId="0" fontId="2" fillId="0" borderId="0" xfId="0" applyFont="1"/>
    <xf numFmtId="0" fontId="2" fillId="0" borderId="10" xfId="0" applyFont="1" applyBorder="1"/>
    <xf numFmtId="0" fontId="2" fillId="0" borderId="11" xfId="0" applyFont="1" applyBorder="1"/>
    <xf numFmtId="0" fontId="2" fillId="0" borderId="12" xfId="0" applyFont="1" applyBorder="1"/>
    <xf numFmtId="0" fontId="2" fillId="2" borderId="1" xfId="0" applyFont="1" applyFill="1" applyBorder="1"/>
    <xf numFmtId="0" fontId="2" fillId="0" borderId="15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4C3B5-26CC-9544-8FAD-D3E282C54D9A}">
  <sheetPr>
    <tabColor theme="4" tint="0.39997558519241921"/>
  </sheetPr>
  <dimension ref="A1:L12"/>
  <sheetViews>
    <sheetView zoomScale="139" workbookViewId="0">
      <selection sqref="A1:L12"/>
    </sheetView>
  </sheetViews>
  <sheetFormatPr baseColWidth="10" defaultRowHeight="16" x14ac:dyDescent="0.2"/>
  <sheetData>
    <row r="1" spans="1:12" ht="18" customHeight="1" x14ac:dyDescent="0.2">
      <c r="A1" s="46" t="s">
        <v>0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8"/>
    </row>
    <row r="2" spans="1:12" x14ac:dyDescent="0.2">
      <c r="A2" s="49"/>
      <c r="B2" s="50"/>
      <c r="C2" s="50"/>
      <c r="D2" s="50"/>
      <c r="E2" s="50"/>
      <c r="F2" s="50"/>
      <c r="G2" s="50"/>
      <c r="H2" s="50"/>
      <c r="I2" s="50"/>
      <c r="J2" s="50"/>
      <c r="K2" s="50"/>
      <c r="L2" s="51"/>
    </row>
    <row r="3" spans="1:12" x14ac:dyDescent="0.2">
      <c r="A3" s="49"/>
      <c r="B3" s="50"/>
      <c r="C3" s="50"/>
      <c r="D3" s="50"/>
      <c r="E3" s="50"/>
      <c r="F3" s="50"/>
      <c r="G3" s="50"/>
      <c r="H3" s="50"/>
      <c r="I3" s="50"/>
      <c r="J3" s="50"/>
      <c r="K3" s="50"/>
      <c r="L3" s="51"/>
    </row>
    <row r="4" spans="1:12" x14ac:dyDescent="0.2">
      <c r="A4" s="49"/>
      <c r="B4" s="50"/>
      <c r="C4" s="50"/>
      <c r="D4" s="50"/>
      <c r="E4" s="50"/>
      <c r="F4" s="50"/>
      <c r="G4" s="50"/>
      <c r="H4" s="50"/>
      <c r="I4" s="50"/>
      <c r="J4" s="50"/>
      <c r="K4" s="50"/>
      <c r="L4" s="51"/>
    </row>
    <row r="5" spans="1:12" x14ac:dyDescent="0.2">
      <c r="A5" s="49"/>
      <c r="B5" s="50"/>
      <c r="C5" s="50"/>
      <c r="D5" s="50"/>
      <c r="E5" s="50"/>
      <c r="F5" s="50"/>
      <c r="G5" s="50"/>
      <c r="H5" s="50"/>
      <c r="I5" s="50"/>
      <c r="J5" s="50"/>
      <c r="K5" s="50"/>
      <c r="L5" s="51"/>
    </row>
    <row r="6" spans="1:12" x14ac:dyDescent="0.2">
      <c r="A6" s="49"/>
      <c r="B6" s="50"/>
      <c r="C6" s="50"/>
      <c r="D6" s="50"/>
      <c r="E6" s="50"/>
      <c r="F6" s="50"/>
      <c r="G6" s="50"/>
      <c r="H6" s="50"/>
      <c r="I6" s="50"/>
      <c r="J6" s="50"/>
      <c r="K6" s="50"/>
      <c r="L6" s="51"/>
    </row>
    <row r="7" spans="1:12" x14ac:dyDescent="0.2">
      <c r="A7" s="49"/>
      <c r="B7" s="50"/>
      <c r="C7" s="50"/>
      <c r="D7" s="50"/>
      <c r="E7" s="50"/>
      <c r="F7" s="50"/>
      <c r="G7" s="50"/>
      <c r="H7" s="50"/>
      <c r="I7" s="50"/>
      <c r="J7" s="50"/>
      <c r="K7" s="50"/>
      <c r="L7" s="51"/>
    </row>
    <row r="8" spans="1:12" x14ac:dyDescent="0.2">
      <c r="A8" s="49"/>
      <c r="B8" s="50"/>
      <c r="C8" s="50"/>
      <c r="D8" s="50"/>
      <c r="E8" s="50"/>
      <c r="F8" s="50"/>
      <c r="G8" s="50"/>
      <c r="H8" s="50"/>
      <c r="I8" s="50"/>
      <c r="J8" s="50"/>
      <c r="K8" s="50"/>
      <c r="L8" s="51"/>
    </row>
    <row r="9" spans="1:12" x14ac:dyDescent="0.2">
      <c r="A9" s="49"/>
      <c r="B9" s="50"/>
      <c r="C9" s="50"/>
      <c r="D9" s="50"/>
      <c r="E9" s="50"/>
      <c r="F9" s="50"/>
      <c r="G9" s="50"/>
      <c r="H9" s="50"/>
      <c r="I9" s="50"/>
      <c r="J9" s="50"/>
      <c r="K9" s="50"/>
      <c r="L9" s="51"/>
    </row>
    <row r="10" spans="1:12" x14ac:dyDescent="0.2">
      <c r="A10" s="49"/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1"/>
    </row>
    <row r="11" spans="1:12" x14ac:dyDescent="0.2">
      <c r="A11" s="49"/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1"/>
    </row>
    <row r="12" spans="1:12" ht="17" thickBot="1" x14ac:dyDescent="0.25">
      <c r="A12" s="52"/>
      <c r="B12" s="53"/>
      <c r="C12" s="53"/>
      <c r="D12" s="53"/>
      <c r="E12" s="53"/>
      <c r="F12" s="53"/>
      <c r="G12" s="53"/>
      <c r="H12" s="53"/>
      <c r="I12" s="53"/>
      <c r="J12" s="53"/>
      <c r="K12" s="53"/>
      <c r="L12" s="54"/>
    </row>
  </sheetData>
  <mergeCells count="1">
    <mergeCell ref="A1:L1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28ED7-C26F-2C44-9495-11939926938C}">
  <sheetPr>
    <tabColor theme="9" tint="0.39997558519241921"/>
  </sheetPr>
  <dimension ref="A1:S91"/>
  <sheetViews>
    <sheetView topLeftCell="A37" zoomScale="90" zoomScaleNormal="90" workbookViewId="0">
      <selection activeCell="Q6" sqref="Q6"/>
    </sheetView>
  </sheetViews>
  <sheetFormatPr baseColWidth="10" defaultRowHeight="16" x14ac:dyDescent="0.2"/>
  <cols>
    <col min="1" max="1" width="10.83203125" style="5"/>
    <col min="2" max="2" width="41.5" style="5" bestFit="1" customWidth="1"/>
    <col min="3" max="3" width="16.1640625" style="5" bestFit="1" customWidth="1"/>
    <col min="4" max="4" width="17.83203125" style="5" bestFit="1" customWidth="1"/>
    <col min="5" max="5" width="10.83203125" style="5"/>
    <col min="6" max="6" width="24.33203125" style="5" bestFit="1" customWidth="1"/>
    <col min="7" max="7" width="25.33203125" style="5" bestFit="1" customWidth="1"/>
    <col min="8" max="8" width="27.33203125" style="5" bestFit="1" customWidth="1"/>
    <col min="9" max="9" width="32.83203125" style="5" bestFit="1" customWidth="1"/>
    <col min="10" max="10" width="39.33203125" style="5" bestFit="1" customWidth="1"/>
    <col min="11" max="11" width="22.33203125" style="5" bestFit="1" customWidth="1"/>
    <col min="12" max="12" width="31.6640625" style="5" bestFit="1" customWidth="1"/>
    <col min="13" max="13" width="29.5" style="5" bestFit="1" customWidth="1"/>
    <col min="14" max="14" width="41.5" style="5" bestFit="1" customWidth="1"/>
    <col min="15" max="15" width="20.33203125" style="5" bestFit="1" customWidth="1"/>
    <col min="16" max="16" width="9.33203125" style="5" customWidth="1"/>
    <col min="17" max="17" width="18.83203125" style="5" bestFit="1" customWidth="1"/>
    <col min="18" max="18" width="10.83203125" style="5" bestFit="1" customWidth="1"/>
    <col min="19" max="19" width="12.6640625" style="5" bestFit="1" customWidth="1"/>
    <col min="20" max="16384" width="10.83203125" style="5"/>
  </cols>
  <sheetData>
    <row r="1" spans="2:19" x14ac:dyDescent="0.2">
      <c r="M1" s="5" t="s">
        <v>11</v>
      </c>
    </row>
    <row r="2" spans="2:19" ht="17" thickBot="1" x14ac:dyDescent="0.25">
      <c r="M2" s="5" t="s">
        <v>13</v>
      </c>
    </row>
    <row r="3" spans="2:19" ht="17" thickBot="1" x14ac:dyDescent="0.25">
      <c r="F3" s="1" t="s">
        <v>16</v>
      </c>
      <c r="G3" s="2">
        <v>20</v>
      </c>
      <c r="H3" s="2">
        <v>20</v>
      </c>
      <c r="I3" s="2">
        <v>20</v>
      </c>
      <c r="J3" s="2">
        <v>20</v>
      </c>
      <c r="K3" s="1">
        <v>25</v>
      </c>
      <c r="L3" s="2">
        <v>40</v>
      </c>
      <c r="M3" s="3">
        <v>20</v>
      </c>
      <c r="N3" s="2">
        <v>10</v>
      </c>
      <c r="O3" s="4">
        <v>5</v>
      </c>
      <c r="Q3" s="6" t="s">
        <v>49</v>
      </c>
      <c r="R3" s="5" t="s">
        <v>48</v>
      </c>
      <c r="S3" s="5" t="s">
        <v>46</v>
      </c>
    </row>
    <row r="4" spans="2:19" ht="17" thickBot="1" x14ac:dyDescent="0.25">
      <c r="F4" s="6" t="s">
        <v>15</v>
      </c>
      <c r="G4" s="6" t="s">
        <v>20</v>
      </c>
      <c r="H4" s="7" t="s">
        <v>19</v>
      </c>
      <c r="I4" s="6" t="s">
        <v>18</v>
      </c>
      <c r="J4" s="6" t="s">
        <v>17</v>
      </c>
      <c r="K4" s="6" t="s">
        <v>21</v>
      </c>
      <c r="L4" s="6" t="s">
        <v>22</v>
      </c>
      <c r="M4" s="6" t="s">
        <v>23</v>
      </c>
      <c r="N4" s="6" t="s">
        <v>24</v>
      </c>
      <c r="O4" s="6" t="s">
        <v>25</v>
      </c>
      <c r="P4" s="8"/>
    </row>
    <row r="5" spans="2:19" ht="17" thickBot="1" x14ac:dyDescent="0.25">
      <c r="F5" s="6" t="s">
        <v>14</v>
      </c>
      <c r="G5" s="9"/>
      <c r="I5" s="9"/>
      <c r="J5" s="9"/>
      <c r="K5" s="9"/>
      <c r="L5" s="9"/>
      <c r="M5" s="9"/>
      <c r="N5" s="9"/>
      <c r="O5" s="9"/>
    </row>
    <row r="6" spans="2:19" x14ac:dyDescent="0.2">
      <c r="B6" s="12" t="s">
        <v>1</v>
      </c>
      <c r="C6" s="13" t="s">
        <v>2</v>
      </c>
      <c r="D6" s="14">
        <v>4452.95</v>
      </c>
      <c r="F6" s="9" t="s">
        <v>26</v>
      </c>
      <c r="G6" s="9">
        <v>4000</v>
      </c>
      <c r="H6" s="5">
        <v>4500</v>
      </c>
      <c r="I6" s="9">
        <v>5000</v>
      </c>
      <c r="J6" s="9">
        <v>4500</v>
      </c>
      <c r="K6" s="9">
        <v>6000</v>
      </c>
      <c r="L6" s="9">
        <v>10000</v>
      </c>
      <c r="M6" s="9">
        <v>50000</v>
      </c>
      <c r="N6" s="9">
        <v>2000</v>
      </c>
      <c r="O6" s="9">
        <v>1000</v>
      </c>
      <c r="Q6" s="5">
        <f>300000*240</f>
        <v>72000000</v>
      </c>
      <c r="R6" s="5" t="s">
        <v>10</v>
      </c>
      <c r="S6" s="5" t="s">
        <v>12</v>
      </c>
    </row>
    <row r="7" spans="2:19" x14ac:dyDescent="0.2">
      <c r="B7" s="15" t="s">
        <v>224</v>
      </c>
      <c r="D7" s="16">
        <v>48</v>
      </c>
      <c r="F7" s="9" t="s">
        <v>27</v>
      </c>
      <c r="G7" s="9">
        <v>105</v>
      </c>
      <c r="H7" s="5">
        <v>75</v>
      </c>
      <c r="I7" s="9"/>
      <c r="J7" s="9">
        <v>75</v>
      </c>
      <c r="K7" s="9"/>
      <c r="L7" s="9">
        <v>75</v>
      </c>
      <c r="M7" s="9"/>
      <c r="N7" s="9"/>
      <c r="O7" s="9">
        <v>75</v>
      </c>
      <c r="Q7" s="5">
        <f t="shared" ref="Q7:Q25" si="0">SUMPRODUCT(G7:O7,$G$31:$O$31)</f>
        <v>0</v>
      </c>
    </row>
    <row r="8" spans="2:19" x14ac:dyDescent="0.2">
      <c r="B8" s="15" t="s">
        <v>225</v>
      </c>
      <c r="D8" s="16">
        <v>90.28</v>
      </c>
      <c r="F8" s="9" t="s">
        <v>28</v>
      </c>
      <c r="G8" s="9"/>
      <c r="H8" s="5">
        <v>25</v>
      </c>
      <c r="I8" s="9"/>
      <c r="J8" s="9">
        <v>25</v>
      </c>
      <c r="K8" s="9"/>
      <c r="L8" s="9">
        <v>25</v>
      </c>
      <c r="M8" s="9"/>
      <c r="N8" s="9"/>
      <c r="O8" s="9"/>
      <c r="Q8" s="5">
        <f t="shared" si="0"/>
        <v>0</v>
      </c>
    </row>
    <row r="9" spans="2:19" x14ac:dyDescent="0.2">
      <c r="B9" s="15" t="s">
        <v>3</v>
      </c>
      <c r="D9" s="16">
        <v>32</v>
      </c>
      <c r="F9" s="9" t="s">
        <v>29</v>
      </c>
      <c r="G9" s="9"/>
      <c r="H9" s="5">
        <v>10</v>
      </c>
      <c r="I9" s="9"/>
      <c r="J9" s="9">
        <v>10</v>
      </c>
      <c r="K9" s="9"/>
      <c r="L9" s="9">
        <v>10</v>
      </c>
      <c r="M9" s="9"/>
      <c r="N9" s="9"/>
      <c r="O9" s="9"/>
      <c r="Q9" s="5">
        <f t="shared" si="0"/>
        <v>0</v>
      </c>
    </row>
    <row r="10" spans="2:19" x14ac:dyDescent="0.2">
      <c r="B10" s="15" t="s">
        <v>4</v>
      </c>
      <c r="D10" s="16">
        <v>149</v>
      </c>
      <c r="F10" s="9" t="s">
        <v>30</v>
      </c>
      <c r="G10" s="9"/>
      <c r="I10" s="9"/>
      <c r="J10" s="9">
        <v>30</v>
      </c>
      <c r="K10" s="9"/>
      <c r="L10" s="9">
        <v>30</v>
      </c>
      <c r="M10" s="9"/>
      <c r="N10" s="9"/>
      <c r="O10" s="9">
        <v>30</v>
      </c>
      <c r="Q10" s="5">
        <f t="shared" si="0"/>
        <v>0</v>
      </c>
    </row>
    <row r="11" spans="2:19" x14ac:dyDescent="0.2">
      <c r="B11" s="15" t="s">
        <v>5</v>
      </c>
      <c r="D11" s="16">
        <f>SUM(D6:D10)</f>
        <v>4772.2299999999996</v>
      </c>
      <c r="F11" s="9" t="s">
        <v>31</v>
      </c>
      <c r="G11" s="9"/>
      <c r="H11" s="5">
        <v>3</v>
      </c>
      <c r="I11" s="9"/>
      <c r="J11" s="9">
        <v>3</v>
      </c>
      <c r="K11" s="9"/>
      <c r="L11" s="9">
        <v>3</v>
      </c>
      <c r="M11" s="9"/>
      <c r="N11" s="9"/>
      <c r="O11" s="9"/>
      <c r="Q11" s="5">
        <f t="shared" si="0"/>
        <v>0</v>
      </c>
    </row>
    <row r="12" spans="2:19" x14ac:dyDescent="0.2">
      <c r="B12" s="15" t="s">
        <v>6</v>
      </c>
      <c r="C12" s="17">
        <v>0.17</v>
      </c>
      <c r="D12" s="16">
        <v>811.27</v>
      </c>
      <c r="F12" s="9" t="s">
        <v>32</v>
      </c>
      <c r="G12" s="9"/>
      <c r="H12" s="5">
        <v>6</v>
      </c>
      <c r="I12" s="9"/>
      <c r="J12" s="9">
        <v>6</v>
      </c>
      <c r="K12" s="9"/>
      <c r="L12" s="9">
        <v>6</v>
      </c>
      <c r="M12" s="9"/>
      <c r="N12" s="9"/>
      <c r="O12" s="9">
        <v>6</v>
      </c>
      <c r="Q12" s="5">
        <f t="shared" si="0"/>
        <v>0</v>
      </c>
    </row>
    <row r="13" spans="2:19" ht="17" thickBot="1" x14ac:dyDescent="0.25">
      <c r="B13" s="18" t="s">
        <v>7</v>
      </c>
      <c r="C13" s="11"/>
      <c r="D13" s="19">
        <f>SUM(D11:D12)</f>
        <v>5583.5</v>
      </c>
      <c r="F13" s="9" t="s">
        <v>33</v>
      </c>
      <c r="G13" s="9"/>
      <c r="I13" s="9">
        <v>200</v>
      </c>
      <c r="J13" s="9"/>
      <c r="K13" s="9">
        <v>300</v>
      </c>
      <c r="L13" s="9">
        <v>600</v>
      </c>
      <c r="M13" s="9">
        <v>6000</v>
      </c>
      <c r="N13" s="9">
        <v>100</v>
      </c>
      <c r="O13" s="9"/>
      <c r="Q13" s="5">
        <f t="shared" si="0"/>
        <v>0</v>
      </c>
    </row>
    <row r="14" spans="2:19" ht="17" thickBot="1" x14ac:dyDescent="0.25">
      <c r="F14" s="9" t="s">
        <v>34</v>
      </c>
      <c r="G14" s="9"/>
      <c r="I14" s="9">
        <v>25</v>
      </c>
      <c r="J14" s="9"/>
      <c r="K14" s="9">
        <v>35</v>
      </c>
      <c r="L14" s="9">
        <v>50</v>
      </c>
      <c r="M14" s="9">
        <v>125</v>
      </c>
      <c r="N14" s="9">
        <v>15</v>
      </c>
      <c r="O14" s="9"/>
      <c r="Q14" s="5">
        <f t="shared" si="0"/>
        <v>0</v>
      </c>
    </row>
    <row r="15" spans="2:19" x14ac:dyDescent="0.2">
      <c r="B15" s="12" t="s">
        <v>8</v>
      </c>
      <c r="C15" s="20">
        <v>4500000</v>
      </c>
      <c r="F15" s="9" t="s">
        <v>35</v>
      </c>
      <c r="G15" s="9">
        <v>125</v>
      </c>
      <c r="H15" s="5">
        <v>300</v>
      </c>
      <c r="I15" s="9">
        <v>600</v>
      </c>
      <c r="J15" s="9">
        <v>300</v>
      </c>
      <c r="K15" s="9">
        <v>450</v>
      </c>
      <c r="L15" s="9">
        <v>600</v>
      </c>
      <c r="M15" s="9"/>
      <c r="N15" s="9">
        <v>100</v>
      </c>
      <c r="O15" s="9">
        <v>50</v>
      </c>
      <c r="Q15" s="5">
        <f t="shared" si="0"/>
        <v>0</v>
      </c>
    </row>
    <row r="16" spans="2:19" ht="17" thickBot="1" x14ac:dyDescent="0.25">
      <c r="B16" s="18" t="s">
        <v>9</v>
      </c>
      <c r="C16" s="21">
        <v>4079401</v>
      </c>
      <c r="F16" s="9" t="s">
        <v>36</v>
      </c>
      <c r="G16" s="9"/>
      <c r="I16" s="9"/>
      <c r="J16" s="9">
        <v>350</v>
      </c>
      <c r="K16" s="9">
        <v>350</v>
      </c>
      <c r="L16" s="9">
        <v>350</v>
      </c>
      <c r="M16" s="9"/>
      <c r="N16" s="9"/>
      <c r="O16" s="9"/>
      <c r="Q16" s="5">
        <f t="shared" si="0"/>
        <v>0</v>
      </c>
    </row>
    <row r="17" spans="1:17" x14ac:dyDescent="0.2">
      <c r="F17" s="9" t="s">
        <v>37</v>
      </c>
      <c r="G17" s="9">
        <v>55</v>
      </c>
      <c r="H17" s="5">
        <v>55</v>
      </c>
      <c r="I17" s="9">
        <v>55</v>
      </c>
      <c r="J17" s="9">
        <v>55</v>
      </c>
      <c r="K17" s="9">
        <v>55</v>
      </c>
      <c r="L17" s="9">
        <v>55</v>
      </c>
      <c r="M17" s="9">
        <v>55</v>
      </c>
      <c r="N17" s="9">
        <v>35</v>
      </c>
      <c r="O17" s="9">
        <v>15</v>
      </c>
      <c r="Q17" s="5">
        <f t="shared" si="0"/>
        <v>0</v>
      </c>
    </row>
    <row r="18" spans="1:17" x14ac:dyDescent="0.2">
      <c r="F18" s="9" t="s">
        <v>38</v>
      </c>
      <c r="G18" s="9">
        <v>50</v>
      </c>
      <c r="H18" s="5">
        <v>75</v>
      </c>
      <c r="I18" s="9">
        <v>90</v>
      </c>
      <c r="J18" s="9">
        <v>75</v>
      </c>
      <c r="K18" s="9">
        <v>105</v>
      </c>
      <c r="L18" s="9">
        <v>150</v>
      </c>
      <c r="M18" s="9">
        <v>90</v>
      </c>
      <c r="N18" s="9">
        <v>50</v>
      </c>
      <c r="O18" s="9">
        <v>35</v>
      </c>
      <c r="Q18" s="5">
        <f t="shared" si="0"/>
        <v>0</v>
      </c>
    </row>
    <row r="19" spans="1:17" x14ac:dyDescent="0.2">
      <c r="F19" s="9" t="s">
        <v>39</v>
      </c>
      <c r="G19" s="9">
        <f>0.25*G18</f>
        <v>12.5</v>
      </c>
      <c r="H19" s="5">
        <f>0.25*H18</f>
        <v>18.75</v>
      </c>
      <c r="I19" s="9">
        <f t="shared" ref="I19" si="1">0.25*I18</f>
        <v>22.5</v>
      </c>
      <c r="J19" s="9">
        <f t="shared" ref="J19" si="2">0.25*J18</f>
        <v>18.75</v>
      </c>
      <c r="K19" s="9">
        <f t="shared" ref="K19:L19" si="3">0.25*K18</f>
        <v>26.25</v>
      </c>
      <c r="L19" s="9">
        <f t="shared" si="3"/>
        <v>37.5</v>
      </c>
      <c r="M19" s="9">
        <f t="shared" ref="M19" si="4">0.25*M18</f>
        <v>22.5</v>
      </c>
      <c r="N19" s="9">
        <f t="shared" ref="N19" si="5">0.25*N18</f>
        <v>12.5</v>
      </c>
      <c r="O19" s="9">
        <f t="shared" ref="O19" si="6">0.25*O18</f>
        <v>8.75</v>
      </c>
      <c r="Q19" s="5">
        <f t="shared" si="0"/>
        <v>0</v>
      </c>
    </row>
    <row r="20" spans="1:17" x14ac:dyDescent="0.2">
      <c r="F20" s="9" t="s">
        <v>40</v>
      </c>
      <c r="G20" s="9">
        <f>0.1*G15</f>
        <v>12.5</v>
      </c>
      <c r="H20" s="5">
        <f t="shared" ref="H20:O20" si="7">0.1*H15</f>
        <v>30</v>
      </c>
      <c r="I20" s="9">
        <f t="shared" si="7"/>
        <v>60</v>
      </c>
      <c r="J20" s="9">
        <f t="shared" si="7"/>
        <v>30</v>
      </c>
      <c r="K20" s="9">
        <f t="shared" si="7"/>
        <v>45</v>
      </c>
      <c r="L20" s="9">
        <f t="shared" si="7"/>
        <v>60</v>
      </c>
      <c r="M20" s="9">
        <f t="shared" si="7"/>
        <v>0</v>
      </c>
      <c r="N20" s="9">
        <f t="shared" si="7"/>
        <v>10</v>
      </c>
      <c r="O20" s="9">
        <f t="shared" si="7"/>
        <v>5</v>
      </c>
      <c r="Q20" s="5">
        <f t="shared" si="0"/>
        <v>0</v>
      </c>
    </row>
    <row r="21" spans="1:17" x14ac:dyDescent="0.2">
      <c r="F21" s="9" t="s">
        <v>41</v>
      </c>
      <c r="G21" s="9">
        <v>50</v>
      </c>
      <c r="H21" s="5">
        <v>100</v>
      </c>
      <c r="I21" s="9">
        <v>150</v>
      </c>
      <c r="J21" s="9">
        <v>100</v>
      </c>
      <c r="K21" s="9">
        <v>200</v>
      </c>
      <c r="L21" s="9">
        <v>300</v>
      </c>
      <c r="M21" s="9">
        <v>600</v>
      </c>
      <c r="N21" s="9">
        <v>50</v>
      </c>
      <c r="O21" s="9">
        <v>25</v>
      </c>
      <c r="Q21" s="5">
        <f t="shared" si="0"/>
        <v>0</v>
      </c>
    </row>
    <row r="22" spans="1:17" x14ac:dyDescent="0.2">
      <c r="F22" s="9" t="s">
        <v>42</v>
      </c>
      <c r="G22" s="9">
        <v>25</v>
      </c>
      <c r="H22" s="5">
        <v>25</v>
      </c>
      <c r="I22" s="9">
        <v>25</v>
      </c>
      <c r="J22" s="9">
        <v>25</v>
      </c>
      <c r="K22" s="9">
        <v>25</v>
      </c>
      <c r="L22" s="9">
        <v>25</v>
      </c>
      <c r="M22" s="9">
        <v>25</v>
      </c>
      <c r="N22" s="9">
        <v>10</v>
      </c>
      <c r="O22" s="9">
        <v>5</v>
      </c>
      <c r="Q22" s="5">
        <f t="shared" si="0"/>
        <v>0</v>
      </c>
    </row>
    <row r="23" spans="1:17" ht="17" thickBot="1" x14ac:dyDescent="0.25">
      <c r="F23" s="9" t="s">
        <v>43</v>
      </c>
      <c r="G23" s="9">
        <f>G22</f>
        <v>25</v>
      </c>
      <c r="H23" s="5">
        <f t="shared" ref="H23:M23" si="8">H22</f>
        <v>25</v>
      </c>
      <c r="I23" s="9">
        <f t="shared" si="8"/>
        <v>25</v>
      </c>
      <c r="J23" s="9">
        <f t="shared" si="8"/>
        <v>25</v>
      </c>
      <c r="K23" s="9">
        <f t="shared" si="8"/>
        <v>25</v>
      </c>
      <c r="L23" s="9">
        <f t="shared" si="8"/>
        <v>25</v>
      </c>
      <c r="M23" s="9">
        <f t="shared" si="8"/>
        <v>25</v>
      </c>
      <c r="N23" s="9">
        <f>N22</f>
        <v>10</v>
      </c>
      <c r="O23" s="9">
        <f t="shared" ref="O23" si="9">O22</f>
        <v>5</v>
      </c>
      <c r="Q23" s="5">
        <f t="shared" si="0"/>
        <v>0</v>
      </c>
    </row>
    <row r="24" spans="1:17" x14ac:dyDescent="0.2">
      <c r="A24" s="12"/>
      <c r="B24" s="13" t="s">
        <v>67</v>
      </c>
      <c r="C24" s="13" t="s">
        <v>68</v>
      </c>
      <c r="D24" s="14" t="s">
        <v>69</v>
      </c>
      <c r="F24" s="9" t="s">
        <v>44</v>
      </c>
      <c r="G24" s="9"/>
      <c r="H24" s="5">
        <v>3</v>
      </c>
      <c r="I24" s="9"/>
      <c r="J24" s="9">
        <v>3</v>
      </c>
      <c r="K24" s="9"/>
      <c r="L24" s="9">
        <v>3</v>
      </c>
      <c r="M24" s="9"/>
      <c r="N24" s="9"/>
      <c r="O24" s="9"/>
      <c r="Q24" s="5">
        <f t="shared" si="0"/>
        <v>0</v>
      </c>
    </row>
    <row r="25" spans="1:17" ht="17" thickBot="1" x14ac:dyDescent="0.25">
      <c r="A25" s="15" t="s">
        <v>70</v>
      </c>
      <c r="B25" s="5" t="s">
        <v>72</v>
      </c>
      <c r="D25" s="16"/>
      <c r="F25" s="10" t="s">
        <v>45</v>
      </c>
      <c r="G25" s="10"/>
      <c r="H25" s="11">
        <v>6</v>
      </c>
      <c r="I25" s="10"/>
      <c r="J25" s="10">
        <v>6</v>
      </c>
      <c r="K25" s="10"/>
      <c r="L25" s="10">
        <v>6</v>
      </c>
      <c r="M25" s="10"/>
      <c r="N25" s="10"/>
      <c r="O25" s="10">
        <v>6</v>
      </c>
      <c r="Q25" s="5">
        <f t="shared" si="0"/>
        <v>0</v>
      </c>
    </row>
    <row r="26" spans="1:17" ht="17" thickBot="1" x14ac:dyDescent="0.25">
      <c r="A26" s="18" t="s">
        <v>71</v>
      </c>
      <c r="B26" s="11" t="s">
        <v>73</v>
      </c>
      <c r="C26" s="11" t="s">
        <v>75</v>
      </c>
      <c r="D26" s="19" t="s">
        <v>74</v>
      </c>
      <c r="F26" s="22" t="s">
        <v>14</v>
      </c>
      <c r="G26" s="25">
        <f t="shared" ref="G26:O26" si="10">SUM(G6:G25)</f>
        <v>4460</v>
      </c>
      <c r="H26" s="28">
        <f t="shared" si="10"/>
        <v>5256.75</v>
      </c>
      <c r="I26" s="27">
        <f t="shared" si="10"/>
        <v>6252.5</v>
      </c>
      <c r="J26" s="27">
        <f t="shared" si="10"/>
        <v>5636.75</v>
      </c>
      <c r="K26" s="27">
        <f t="shared" si="10"/>
        <v>7616.25</v>
      </c>
      <c r="L26" s="27">
        <f t="shared" si="10"/>
        <v>12410.5</v>
      </c>
      <c r="M26" s="27">
        <f t="shared" si="10"/>
        <v>56942.5</v>
      </c>
      <c r="N26" s="27">
        <f t="shared" si="10"/>
        <v>2392.5</v>
      </c>
      <c r="O26" s="27">
        <f t="shared" si="10"/>
        <v>1265.75</v>
      </c>
    </row>
    <row r="27" spans="1:17" ht="17" thickBot="1" x14ac:dyDescent="0.25">
      <c r="F27" s="23" t="s">
        <v>47</v>
      </c>
      <c r="G27" s="26">
        <f>G26*1.125</f>
        <v>5017.5</v>
      </c>
      <c r="H27" s="26">
        <f t="shared" ref="H27:O27" si="11">H26*1.125</f>
        <v>5913.84375</v>
      </c>
      <c r="I27" s="23">
        <f t="shared" si="11"/>
        <v>7034.0625</v>
      </c>
      <c r="J27" s="23">
        <f t="shared" si="11"/>
        <v>6341.34375</v>
      </c>
      <c r="K27" s="23">
        <f t="shared" si="11"/>
        <v>8568.28125</v>
      </c>
      <c r="L27" s="23">
        <f t="shared" si="11"/>
        <v>13961.8125</v>
      </c>
      <c r="M27" s="23">
        <f t="shared" si="11"/>
        <v>64060.3125</v>
      </c>
      <c r="N27" s="23">
        <f t="shared" si="11"/>
        <v>2691.5625</v>
      </c>
      <c r="O27" s="23">
        <f t="shared" si="11"/>
        <v>1423.96875</v>
      </c>
    </row>
    <row r="28" spans="1:17" ht="17" thickBot="1" x14ac:dyDescent="0.25">
      <c r="F28" s="6" t="s">
        <v>65</v>
      </c>
      <c r="G28" s="24">
        <f>G27-G26</f>
        <v>557.5</v>
      </c>
      <c r="H28" s="24">
        <f t="shared" ref="H28:O28" si="12">H27-H26</f>
        <v>657.09375</v>
      </c>
      <c r="I28" s="6">
        <f t="shared" si="12"/>
        <v>781.5625</v>
      </c>
      <c r="J28" s="6">
        <f t="shared" si="12"/>
        <v>704.59375</v>
      </c>
      <c r="K28" s="6">
        <f t="shared" si="12"/>
        <v>952.03125</v>
      </c>
      <c r="L28" s="6">
        <f t="shared" si="12"/>
        <v>1551.3125</v>
      </c>
      <c r="M28" s="6">
        <f t="shared" si="12"/>
        <v>7117.8125</v>
      </c>
      <c r="N28" s="6">
        <f t="shared" si="12"/>
        <v>299.0625</v>
      </c>
      <c r="O28" s="6">
        <f t="shared" si="12"/>
        <v>158.21875</v>
      </c>
    </row>
    <row r="32" spans="1:17" x14ac:dyDescent="0.2">
      <c r="F32" s="8" t="s">
        <v>50</v>
      </c>
      <c r="G32" s="8" t="s">
        <v>51</v>
      </c>
      <c r="H32" s="8" t="s">
        <v>52</v>
      </c>
      <c r="I32" s="8" t="s">
        <v>154</v>
      </c>
      <c r="J32" s="8" t="s">
        <v>155</v>
      </c>
      <c r="K32" s="8" t="s">
        <v>156</v>
      </c>
    </row>
    <row r="34" spans="2:15" x14ac:dyDescent="0.2">
      <c r="F34" s="8" t="s">
        <v>157</v>
      </c>
      <c r="G34" s="8">
        <f t="shared" ref="G34:O34" si="13">G21/100</f>
        <v>0.5</v>
      </c>
      <c r="H34" s="8">
        <f t="shared" si="13"/>
        <v>1</v>
      </c>
      <c r="I34" s="8">
        <f t="shared" si="13"/>
        <v>1.5</v>
      </c>
      <c r="J34" s="8">
        <f t="shared" si="13"/>
        <v>1</v>
      </c>
      <c r="K34" s="8">
        <f t="shared" si="13"/>
        <v>2</v>
      </c>
      <c r="L34" s="8">
        <f t="shared" si="13"/>
        <v>3</v>
      </c>
      <c r="M34" s="8">
        <f t="shared" si="13"/>
        <v>6</v>
      </c>
      <c r="N34" s="8">
        <f t="shared" si="13"/>
        <v>0.5</v>
      </c>
      <c r="O34" s="8">
        <f t="shared" si="13"/>
        <v>0.25</v>
      </c>
    </row>
    <row r="36" spans="2:15" x14ac:dyDescent="0.2">
      <c r="D36" s="5" t="s">
        <v>63</v>
      </c>
      <c r="H36" s="5" t="s">
        <v>145</v>
      </c>
      <c r="I36" s="5" t="s">
        <v>199</v>
      </c>
      <c r="J36" s="5" t="s">
        <v>135</v>
      </c>
      <c r="K36" s="55" t="s">
        <v>200</v>
      </c>
      <c r="L36" s="55"/>
      <c r="M36" s="55"/>
      <c r="N36" s="55"/>
      <c r="O36" s="55"/>
    </row>
    <row r="37" spans="2:15" ht="17" customHeight="1" thickBot="1" x14ac:dyDescent="0.25">
      <c r="C37" s="5" t="s">
        <v>62</v>
      </c>
      <c r="D37" s="5" t="s">
        <v>64</v>
      </c>
      <c r="H37" s="5" t="s">
        <v>143</v>
      </c>
      <c r="I37" s="5" t="s">
        <v>144</v>
      </c>
      <c r="K37" s="55" t="s">
        <v>198</v>
      </c>
      <c r="L37" s="55"/>
      <c r="M37" s="55"/>
      <c r="N37" s="55"/>
      <c r="O37" s="55"/>
    </row>
    <row r="38" spans="2:15" ht="17" thickBot="1" x14ac:dyDescent="0.25">
      <c r="B38" s="6" t="s">
        <v>20</v>
      </c>
      <c r="C38" s="5" t="s">
        <v>53</v>
      </c>
      <c r="D38" s="5">
        <f>G28</f>
        <v>557.5</v>
      </c>
      <c r="H38" s="5" t="s">
        <v>131</v>
      </c>
      <c r="I38" s="5" t="s">
        <v>132</v>
      </c>
      <c r="J38" s="5" t="s">
        <v>135</v>
      </c>
      <c r="K38" s="55" t="s">
        <v>201</v>
      </c>
      <c r="L38" s="55"/>
      <c r="M38" s="55"/>
      <c r="N38" s="55"/>
      <c r="O38" s="55"/>
    </row>
    <row r="39" spans="2:15" ht="17" customHeight="1" thickBot="1" x14ac:dyDescent="0.25">
      <c r="B39" s="6" t="s">
        <v>19</v>
      </c>
      <c r="C39" s="5" t="s">
        <v>54</v>
      </c>
      <c r="D39" s="5">
        <f>H28</f>
        <v>657.09375</v>
      </c>
      <c r="H39" s="5" t="s">
        <v>133</v>
      </c>
      <c r="I39" s="5" t="s">
        <v>134</v>
      </c>
      <c r="J39" s="5" t="s">
        <v>135</v>
      </c>
      <c r="K39" s="55" t="s">
        <v>202</v>
      </c>
      <c r="L39" s="55"/>
      <c r="M39" s="55"/>
      <c r="N39" s="55"/>
      <c r="O39" s="55"/>
    </row>
    <row r="40" spans="2:15" ht="17" thickBot="1" x14ac:dyDescent="0.25">
      <c r="B40" s="6" t="s">
        <v>18</v>
      </c>
      <c r="C40" s="5" t="s">
        <v>55</v>
      </c>
      <c r="D40" s="5">
        <f>I28</f>
        <v>781.5625</v>
      </c>
      <c r="H40" s="5" t="s">
        <v>136</v>
      </c>
      <c r="K40" s="55" t="s">
        <v>203</v>
      </c>
      <c r="L40" s="55"/>
      <c r="M40" s="55"/>
      <c r="N40" s="55"/>
      <c r="O40" s="55"/>
    </row>
    <row r="41" spans="2:15" ht="17" thickBot="1" x14ac:dyDescent="0.25">
      <c r="B41" s="6" t="s">
        <v>17</v>
      </c>
      <c r="C41" s="5" t="s">
        <v>56</v>
      </c>
      <c r="D41" s="5">
        <f>J28</f>
        <v>704.59375</v>
      </c>
      <c r="K41" s="55"/>
      <c r="L41" s="55"/>
      <c r="M41" s="55"/>
      <c r="N41" s="55"/>
      <c r="O41" s="55"/>
    </row>
    <row r="42" spans="2:15" ht="17" customHeight="1" thickBot="1" x14ac:dyDescent="0.25">
      <c r="B42" s="6" t="s">
        <v>21</v>
      </c>
      <c r="C42" s="5" t="s">
        <v>57</v>
      </c>
      <c r="D42" s="5">
        <f>K28</f>
        <v>952.03125</v>
      </c>
      <c r="H42" s="5" t="s">
        <v>137</v>
      </c>
      <c r="I42" s="36">
        <v>1500000</v>
      </c>
      <c r="J42" s="5" t="s">
        <v>140</v>
      </c>
      <c r="K42" s="55" t="s">
        <v>204</v>
      </c>
      <c r="L42" s="55"/>
      <c r="M42" s="55"/>
      <c r="N42" s="55"/>
      <c r="O42" s="55"/>
    </row>
    <row r="43" spans="2:15" ht="17" customHeight="1" thickBot="1" x14ac:dyDescent="0.25">
      <c r="B43" s="6" t="s">
        <v>22</v>
      </c>
      <c r="C43" s="5" t="s">
        <v>58</v>
      </c>
      <c r="D43" s="5">
        <f>L28</f>
        <v>1551.3125</v>
      </c>
      <c r="H43" s="5" t="s">
        <v>138</v>
      </c>
      <c r="I43" s="5" t="s">
        <v>139</v>
      </c>
      <c r="K43" s="55" t="s">
        <v>205</v>
      </c>
      <c r="L43" s="55"/>
      <c r="M43" s="55"/>
      <c r="N43" s="55"/>
      <c r="O43" s="55"/>
    </row>
    <row r="44" spans="2:15" ht="17" customHeight="1" thickBot="1" x14ac:dyDescent="0.25">
      <c r="B44" s="6" t="s">
        <v>23</v>
      </c>
      <c r="C44" s="5" t="s">
        <v>59</v>
      </c>
      <c r="D44" s="5">
        <f>M28</f>
        <v>7117.8125</v>
      </c>
      <c r="K44" s="55"/>
      <c r="L44" s="55"/>
      <c r="M44" s="55"/>
      <c r="N44" s="55"/>
      <c r="O44" s="55"/>
    </row>
    <row r="45" spans="2:15" ht="17" customHeight="1" thickBot="1" x14ac:dyDescent="0.25">
      <c r="B45" s="6" t="s">
        <v>24</v>
      </c>
      <c r="C45" s="5" t="s">
        <v>60</v>
      </c>
      <c r="D45" s="5">
        <f>N28</f>
        <v>299.0625</v>
      </c>
      <c r="H45" s="5" t="s">
        <v>141</v>
      </c>
      <c r="I45" s="5" t="s">
        <v>206</v>
      </c>
      <c r="K45" s="55" t="s">
        <v>211</v>
      </c>
      <c r="L45" s="55"/>
      <c r="M45" s="55"/>
      <c r="N45" s="55"/>
      <c r="O45" s="55"/>
    </row>
    <row r="46" spans="2:15" ht="17" customHeight="1" thickBot="1" x14ac:dyDescent="0.25">
      <c r="B46" s="6" t="s">
        <v>25</v>
      </c>
      <c r="C46" s="5" t="s">
        <v>61</v>
      </c>
      <c r="D46" s="5">
        <f>O28</f>
        <v>158.21875</v>
      </c>
      <c r="H46" s="5" t="s">
        <v>142</v>
      </c>
      <c r="I46" s="5" t="s">
        <v>207</v>
      </c>
      <c r="K46" s="55" t="s">
        <v>212</v>
      </c>
      <c r="L46" s="55"/>
      <c r="M46" s="55"/>
      <c r="N46" s="55"/>
      <c r="O46" s="55"/>
    </row>
    <row r="49" spans="2:15" x14ac:dyDescent="0.2">
      <c r="D49" s="56" t="s">
        <v>20</v>
      </c>
      <c r="E49" s="56" t="s">
        <v>19</v>
      </c>
      <c r="F49" s="56" t="s">
        <v>18</v>
      </c>
      <c r="G49" s="56" t="s">
        <v>17</v>
      </c>
      <c r="H49" s="56" t="s">
        <v>21</v>
      </c>
      <c r="I49" s="56" t="s">
        <v>22</v>
      </c>
      <c r="J49" s="56" t="s">
        <v>23</v>
      </c>
      <c r="K49" s="56" t="s">
        <v>24</v>
      </c>
      <c r="L49" s="56" t="s">
        <v>25</v>
      </c>
    </row>
    <row r="50" spans="2:15" ht="17" thickBot="1" x14ac:dyDescent="0.25">
      <c r="D50" s="57"/>
      <c r="E50" s="57"/>
      <c r="F50" s="57"/>
      <c r="G50" s="57"/>
      <c r="H50" s="57"/>
      <c r="I50" s="57"/>
      <c r="J50" s="57"/>
      <c r="K50" s="57"/>
      <c r="L50" s="57"/>
    </row>
    <row r="51" spans="2:15" ht="17" thickBot="1" x14ac:dyDescent="0.25">
      <c r="D51" s="1" t="s">
        <v>53</v>
      </c>
      <c r="E51" s="3" t="s">
        <v>54</v>
      </c>
      <c r="F51" s="3" t="s">
        <v>55</v>
      </c>
      <c r="G51" s="3" t="s">
        <v>56</v>
      </c>
      <c r="H51" s="3" t="s">
        <v>57</v>
      </c>
      <c r="I51" s="3" t="s">
        <v>58</v>
      </c>
      <c r="J51" s="3" t="s">
        <v>59</v>
      </c>
      <c r="K51" s="3" t="s">
        <v>60</v>
      </c>
      <c r="L51" s="4" t="s">
        <v>61</v>
      </c>
    </row>
    <row r="52" spans="2:15" ht="17" thickBot="1" x14ac:dyDescent="0.25">
      <c r="D52" s="1">
        <v>0</v>
      </c>
      <c r="E52" s="3">
        <v>0</v>
      </c>
      <c r="F52" s="3">
        <v>0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4">
        <v>0</v>
      </c>
      <c r="N52" s="5" t="s">
        <v>65</v>
      </c>
    </row>
    <row r="53" spans="2:15" ht="17" thickBot="1" x14ac:dyDescent="0.25">
      <c r="B53" s="5" t="s">
        <v>66</v>
      </c>
      <c r="D53" s="5">
        <v>557.5</v>
      </c>
      <c r="E53" s="5">
        <v>657.09375</v>
      </c>
      <c r="F53" s="5">
        <v>781.5625</v>
      </c>
      <c r="G53" s="5">
        <v>704.59375</v>
      </c>
      <c r="H53" s="5">
        <v>952.03125</v>
      </c>
      <c r="I53" s="5">
        <v>1551.3125</v>
      </c>
      <c r="J53" s="5">
        <v>7117.8125</v>
      </c>
      <c r="K53" s="5">
        <v>299.0625</v>
      </c>
      <c r="L53" s="5">
        <v>158.21875</v>
      </c>
      <c r="N53" s="45">
        <f>SUMPRODUCT(D52:L52,D53:L53)</f>
        <v>0</v>
      </c>
    </row>
    <row r="54" spans="2:15" ht="17" thickBot="1" x14ac:dyDescent="0.25"/>
    <row r="55" spans="2:15" x14ac:dyDescent="0.2">
      <c r="B55" s="35" t="s">
        <v>26</v>
      </c>
      <c r="C55" s="5" t="s">
        <v>190</v>
      </c>
      <c r="D55" s="35">
        <v>0</v>
      </c>
      <c r="E55" s="35">
        <v>20</v>
      </c>
      <c r="F55" s="35">
        <v>20</v>
      </c>
      <c r="G55" s="35">
        <v>0</v>
      </c>
      <c r="H55" s="35">
        <v>25</v>
      </c>
      <c r="I55" s="35">
        <v>40</v>
      </c>
      <c r="J55" s="35">
        <v>0</v>
      </c>
      <c r="K55" s="35">
        <v>10</v>
      </c>
      <c r="L55" s="35">
        <v>5</v>
      </c>
      <c r="M55" s="5">
        <f>SUMPRODUCT(D55:L55,$D$8:$L$8)</f>
        <v>750</v>
      </c>
      <c r="N55" s="35">
        <v>300000</v>
      </c>
      <c r="O55" s="5" t="s">
        <v>130</v>
      </c>
    </row>
    <row r="56" spans="2:15" x14ac:dyDescent="0.2">
      <c r="B56" s="9" t="s">
        <v>76</v>
      </c>
      <c r="C56" s="5" t="s">
        <v>191</v>
      </c>
      <c r="D56" s="9">
        <v>0</v>
      </c>
      <c r="E56" s="9">
        <v>0</v>
      </c>
      <c r="F56" s="9">
        <v>0</v>
      </c>
      <c r="G56" s="9">
        <v>0</v>
      </c>
      <c r="H56" s="9">
        <v>0</v>
      </c>
      <c r="I56" s="9">
        <v>0</v>
      </c>
      <c r="J56" s="9">
        <v>20</v>
      </c>
      <c r="K56" s="9">
        <v>0</v>
      </c>
      <c r="L56" s="9">
        <v>0</v>
      </c>
      <c r="M56" s="5">
        <f>SUMPRODUCT(D56:L56,$D$8:$L$8)</f>
        <v>500</v>
      </c>
      <c r="N56" s="9">
        <v>10000</v>
      </c>
      <c r="O56" s="5" t="s">
        <v>130</v>
      </c>
    </row>
    <row r="57" spans="2:15" x14ac:dyDescent="0.2">
      <c r="B57" s="9" t="s">
        <v>146</v>
      </c>
      <c r="C57" s="5" t="s">
        <v>192</v>
      </c>
      <c r="D57" s="9">
        <v>0</v>
      </c>
      <c r="E57" s="9">
        <v>0</v>
      </c>
      <c r="F57" s="9">
        <v>0</v>
      </c>
      <c r="G57" s="9">
        <v>20</v>
      </c>
      <c r="H57" s="9">
        <v>0</v>
      </c>
      <c r="I57" s="9">
        <v>0</v>
      </c>
      <c r="J57" s="9">
        <v>0</v>
      </c>
      <c r="K57" s="9">
        <v>0</v>
      </c>
      <c r="L57" s="9">
        <v>0</v>
      </c>
      <c r="M57" s="5">
        <f t="shared" ref="M57:M63" si="14">SUMPRODUCT(D57:L57,$D$8:$L$8)</f>
        <v>0</v>
      </c>
      <c r="N57" s="9">
        <v>50000</v>
      </c>
      <c r="O57" s="5" t="s">
        <v>130</v>
      </c>
    </row>
    <row r="58" spans="2:15" x14ac:dyDescent="0.2">
      <c r="B58" s="9" t="s">
        <v>147</v>
      </c>
      <c r="C58" s="5" t="s">
        <v>193</v>
      </c>
      <c r="D58" s="9">
        <v>20</v>
      </c>
      <c r="E58" s="9">
        <v>0</v>
      </c>
      <c r="F58" s="9">
        <v>0</v>
      </c>
      <c r="G58" s="9">
        <v>0</v>
      </c>
      <c r="H58" s="9">
        <v>0</v>
      </c>
      <c r="I58" s="9">
        <v>0</v>
      </c>
      <c r="J58" s="9">
        <v>0</v>
      </c>
      <c r="K58" s="9">
        <v>0</v>
      </c>
      <c r="L58" s="9">
        <v>0</v>
      </c>
      <c r="M58" s="5">
        <f t="shared" si="14"/>
        <v>1805.6</v>
      </c>
      <c r="N58" s="9">
        <v>150000</v>
      </c>
      <c r="O58" s="5" t="s">
        <v>130</v>
      </c>
    </row>
    <row r="59" spans="2:15" x14ac:dyDescent="0.2">
      <c r="B59" s="9" t="s">
        <v>36</v>
      </c>
      <c r="C59" s="5" t="s">
        <v>194</v>
      </c>
      <c r="D59" s="9">
        <v>0</v>
      </c>
      <c r="E59" s="9">
        <v>0</v>
      </c>
      <c r="F59" s="9">
        <v>0</v>
      </c>
      <c r="G59" s="9">
        <v>1</v>
      </c>
      <c r="H59" s="9">
        <v>1</v>
      </c>
      <c r="I59" s="9">
        <v>1</v>
      </c>
      <c r="J59" s="9">
        <v>0</v>
      </c>
      <c r="K59" s="9">
        <v>0</v>
      </c>
      <c r="L59" s="9">
        <v>0</v>
      </c>
      <c r="M59" s="5">
        <f t="shared" si="14"/>
        <v>25</v>
      </c>
      <c r="N59" s="9">
        <v>1500000</v>
      </c>
      <c r="O59" s="5" t="s">
        <v>148</v>
      </c>
    </row>
    <row r="60" spans="2:15" x14ac:dyDescent="0.2">
      <c r="B60" s="9" t="s">
        <v>150</v>
      </c>
      <c r="C60" s="5" t="s">
        <v>195</v>
      </c>
      <c r="D60" s="9">
        <v>1</v>
      </c>
      <c r="E60" s="9">
        <v>1</v>
      </c>
      <c r="F60" s="9">
        <v>1</v>
      </c>
      <c r="G60" s="9">
        <v>1</v>
      </c>
      <c r="H60" s="9">
        <v>1</v>
      </c>
      <c r="I60" s="9">
        <v>1</v>
      </c>
      <c r="J60" s="9">
        <v>1</v>
      </c>
      <c r="K60" s="9">
        <v>1</v>
      </c>
      <c r="L60" s="9">
        <v>1</v>
      </c>
      <c r="M60" s="5">
        <f t="shared" si="14"/>
        <v>165.28</v>
      </c>
      <c r="N60" s="9">
        <v>22000</v>
      </c>
      <c r="O60" s="5" t="s">
        <v>196</v>
      </c>
    </row>
    <row r="61" spans="2:15" x14ac:dyDescent="0.2">
      <c r="B61" s="9" t="s">
        <v>153</v>
      </c>
      <c r="C61" s="5" t="s">
        <v>195</v>
      </c>
      <c r="D61" s="9">
        <v>0</v>
      </c>
      <c r="E61" s="9">
        <v>0</v>
      </c>
      <c r="F61" s="9">
        <v>0</v>
      </c>
      <c r="G61" s="9">
        <v>0</v>
      </c>
      <c r="H61" s="9">
        <v>1</v>
      </c>
      <c r="I61" s="9">
        <v>0</v>
      </c>
      <c r="J61" s="9">
        <v>0</v>
      </c>
      <c r="K61" s="9">
        <v>0</v>
      </c>
      <c r="L61" s="9">
        <v>0</v>
      </c>
      <c r="M61" s="5">
        <f t="shared" si="14"/>
        <v>25</v>
      </c>
      <c r="N61" s="9">
        <f>9000/12</f>
        <v>750</v>
      </c>
      <c r="O61" s="5" t="s">
        <v>196</v>
      </c>
    </row>
    <row r="62" spans="2:15" x14ac:dyDescent="0.2">
      <c r="B62" s="9" t="s">
        <v>152</v>
      </c>
      <c r="C62" s="5" t="s">
        <v>195</v>
      </c>
      <c r="D62" s="9">
        <v>1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5">
        <f t="shared" si="14"/>
        <v>90.28</v>
      </c>
      <c r="N62" s="9">
        <f>120000/12</f>
        <v>10000</v>
      </c>
      <c r="O62" s="5" t="s">
        <v>196</v>
      </c>
    </row>
    <row r="63" spans="2:15" ht="17" thickBot="1" x14ac:dyDescent="0.25">
      <c r="B63" s="10" t="s">
        <v>159</v>
      </c>
      <c r="C63" s="5" t="s">
        <v>197</v>
      </c>
      <c r="D63" s="10">
        <v>0.5</v>
      </c>
      <c r="E63" s="10">
        <v>1</v>
      </c>
      <c r="F63" s="10">
        <v>1.5</v>
      </c>
      <c r="G63" s="10">
        <v>1</v>
      </c>
      <c r="H63" s="10">
        <v>2</v>
      </c>
      <c r="I63" s="10">
        <v>3</v>
      </c>
      <c r="J63" s="10">
        <v>6</v>
      </c>
      <c r="K63" s="10">
        <v>0.5</v>
      </c>
      <c r="L63" s="10">
        <v>0.25</v>
      </c>
      <c r="M63" s="5">
        <f t="shared" si="14"/>
        <v>251.39</v>
      </c>
      <c r="N63" s="10">
        <v>15000</v>
      </c>
      <c r="O63" s="5" t="s">
        <v>158</v>
      </c>
    </row>
    <row r="68" spans="2:19" ht="21" thickBot="1" x14ac:dyDescent="0.25">
      <c r="B68" s="58" t="s">
        <v>174</v>
      </c>
      <c r="C68" s="58"/>
      <c r="D68" s="58"/>
      <c r="E68" s="58"/>
      <c r="F68" s="58"/>
      <c r="G68" s="58"/>
      <c r="H68" s="58"/>
      <c r="I68" s="58"/>
      <c r="J68" s="58"/>
      <c r="K68" s="58"/>
      <c r="L68" s="58"/>
    </row>
    <row r="69" spans="2:19" ht="17" thickBot="1" x14ac:dyDescent="0.25">
      <c r="D69" s="8" t="s">
        <v>175</v>
      </c>
      <c r="E69" s="8" t="s">
        <v>176</v>
      </c>
      <c r="O69" s="59" t="s">
        <v>223</v>
      </c>
      <c r="P69" s="60"/>
      <c r="Q69" s="60"/>
      <c r="R69" s="61"/>
    </row>
    <row r="70" spans="2:19" ht="17" thickBot="1" x14ac:dyDescent="0.25"/>
    <row r="71" spans="2:19" x14ac:dyDescent="0.2">
      <c r="B71" s="35" t="s">
        <v>177</v>
      </c>
      <c r="C71" s="62" t="s">
        <v>180</v>
      </c>
      <c r="D71" s="63"/>
      <c r="E71" s="63"/>
      <c r="F71" s="63"/>
      <c r="G71" s="63"/>
      <c r="H71" s="63"/>
      <c r="I71" s="63"/>
      <c r="J71" s="63"/>
      <c r="K71" s="63"/>
      <c r="L71" s="63"/>
      <c r="M71" s="64"/>
      <c r="N71" s="65" t="s">
        <v>214</v>
      </c>
      <c r="O71" s="66"/>
      <c r="P71" s="66"/>
      <c r="Q71" s="66"/>
      <c r="R71" s="66"/>
      <c r="S71" s="67"/>
    </row>
    <row r="72" spans="2:19" x14ac:dyDescent="0.2">
      <c r="B72" s="9" t="s">
        <v>179</v>
      </c>
      <c r="C72" s="68" t="s">
        <v>178</v>
      </c>
      <c r="D72" s="55"/>
      <c r="E72" s="55"/>
      <c r="F72" s="55"/>
      <c r="G72" s="55"/>
      <c r="H72" s="55"/>
      <c r="I72" s="55"/>
      <c r="J72" s="55"/>
      <c r="K72" s="55"/>
      <c r="L72" s="55"/>
      <c r="M72" s="69"/>
      <c r="N72" s="70" t="s">
        <v>215</v>
      </c>
      <c r="O72" s="71"/>
      <c r="P72" s="71"/>
      <c r="Q72" s="71"/>
      <c r="R72" s="71"/>
      <c r="S72" s="72"/>
    </row>
    <row r="73" spans="2:19" x14ac:dyDescent="0.2">
      <c r="B73" s="9" t="s">
        <v>181</v>
      </c>
      <c r="C73" s="68" t="s">
        <v>183</v>
      </c>
      <c r="D73" s="55"/>
      <c r="E73" s="55"/>
      <c r="F73" s="55"/>
      <c r="G73" s="55"/>
      <c r="H73" s="55"/>
      <c r="I73" s="55"/>
      <c r="J73" s="55"/>
      <c r="K73" s="55"/>
      <c r="L73" s="55"/>
      <c r="M73" s="69"/>
      <c r="N73" s="70" t="s">
        <v>216</v>
      </c>
      <c r="O73" s="71"/>
      <c r="P73" s="71"/>
      <c r="Q73" s="71"/>
      <c r="R73" s="71"/>
      <c r="S73" s="72"/>
    </row>
    <row r="74" spans="2:19" x14ac:dyDescent="0.2">
      <c r="B74" s="9" t="s">
        <v>182</v>
      </c>
      <c r="C74" s="68" t="s">
        <v>184</v>
      </c>
      <c r="D74" s="55"/>
      <c r="E74" s="55"/>
      <c r="F74" s="55"/>
      <c r="G74" s="55"/>
      <c r="H74" s="55"/>
      <c r="I74" s="55"/>
      <c r="J74" s="55"/>
      <c r="K74" s="55"/>
      <c r="L74" s="55"/>
      <c r="M74" s="69"/>
      <c r="N74" s="70" t="s">
        <v>217</v>
      </c>
      <c r="O74" s="71"/>
      <c r="P74" s="71"/>
      <c r="Q74" s="71"/>
      <c r="R74" s="71"/>
      <c r="S74" s="72"/>
    </row>
    <row r="75" spans="2:19" x14ac:dyDescent="0.2">
      <c r="B75" s="9" t="s">
        <v>36</v>
      </c>
      <c r="C75" s="68" t="s">
        <v>185</v>
      </c>
      <c r="D75" s="55"/>
      <c r="E75" s="55"/>
      <c r="F75" s="55"/>
      <c r="G75" s="55"/>
      <c r="H75" s="55"/>
      <c r="I75" s="55"/>
      <c r="J75" s="55"/>
      <c r="K75" s="55"/>
      <c r="L75" s="55"/>
      <c r="M75" s="69"/>
      <c r="N75" s="70" t="s">
        <v>218</v>
      </c>
      <c r="O75" s="71"/>
      <c r="P75" s="71"/>
      <c r="Q75" s="71"/>
      <c r="R75" s="71"/>
      <c r="S75" s="72"/>
    </row>
    <row r="76" spans="2:19" x14ac:dyDescent="0.2">
      <c r="B76" s="9" t="s">
        <v>186</v>
      </c>
      <c r="C76" s="68" t="s">
        <v>187</v>
      </c>
      <c r="D76" s="55"/>
      <c r="E76" s="55"/>
      <c r="F76" s="55"/>
      <c r="G76" s="55"/>
      <c r="H76" s="55"/>
      <c r="I76" s="55"/>
      <c r="J76" s="55"/>
      <c r="K76" s="55"/>
      <c r="L76" s="55"/>
      <c r="M76" s="69"/>
      <c r="N76" s="70" t="s">
        <v>219</v>
      </c>
      <c r="O76" s="71"/>
      <c r="P76" s="71"/>
      <c r="Q76" s="71"/>
      <c r="R76" s="71"/>
      <c r="S76" s="72"/>
    </row>
    <row r="77" spans="2:19" x14ac:dyDescent="0.2">
      <c r="B77" s="9" t="s">
        <v>153</v>
      </c>
      <c r="C77" s="68" t="s">
        <v>188</v>
      </c>
      <c r="D77" s="55"/>
      <c r="E77" s="55"/>
      <c r="F77" s="55"/>
      <c r="G77" s="55"/>
      <c r="H77" s="55"/>
      <c r="I77" s="55"/>
      <c r="J77" s="55"/>
      <c r="K77" s="55"/>
      <c r="L77" s="55"/>
      <c r="M77" s="69"/>
      <c r="N77" s="70" t="s">
        <v>220</v>
      </c>
      <c r="O77" s="71"/>
      <c r="P77" s="71"/>
      <c r="Q77" s="71"/>
      <c r="R77" s="71"/>
      <c r="S77" s="72"/>
    </row>
    <row r="78" spans="2:19" ht="17" thickBot="1" x14ac:dyDescent="0.25">
      <c r="B78" s="10" t="s">
        <v>152</v>
      </c>
      <c r="C78" s="68" t="s">
        <v>213</v>
      </c>
      <c r="D78" s="55"/>
      <c r="E78" s="55"/>
      <c r="F78" s="55"/>
      <c r="G78" s="55"/>
      <c r="H78" s="55"/>
      <c r="I78" s="55"/>
      <c r="J78" s="55"/>
      <c r="K78" s="55"/>
      <c r="L78" s="55"/>
      <c r="M78" s="69"/>
      <c r="N78" s="70" t="s">
        <v>221</v>
      </c>
      <c r="O78" s="71"/>
      <c r="P78" s="71"/>
      <c r="Q78" s="71"/>
      <c r="R78" s="71"/>
      <c r="S78" s="72"/>
    </row>
    <row r="79" spans="2:19" ht="17" thickBot="1" x14ac:dyDescent="0.25">
      <c r="B79" s="10" t="s">
        <v>159</v>
      </c>
      <c r="C79" s="73" t="s">
        <v>189</v>
      </c>
      <c r="D79" s="74"/>
      <c r="E79" s="74"/>
      <c r="F79" s="74"/>
      <c r="G79" s="74"/>
      <c r="H79" s="74"/>
      <c r="I79" s="74"/>
      <c r="J79" s="74"/>
      <c r="K79" s="74"/>
      <c r="L79" s="74"/>
      <c r="M79" s="75"/>
      <c r="N79" s="76" t="s">
        <v>222</v>
      </c>
      <c r="O79" s="77"/>
      <c r="P79" s="77"/>
      <c r="Q79" s="77"/>
      <c r="R79" s="77"/>
      <c r="S79" s="78"/>
    </row>
    <row r="81" spans="2:4" x14ac:dyDescent="0.2">
      <c r="D81" s="5" t="s">
        <v>63</v>
      </c>
    </row>
    <row r="82" spans="2:4" ht="17" thickBot="1" x14ac:dyDescent="0.25">
      <c r="C82" s="5" t="s">
        <v>62</v>
      </c>
      <c r="D82" s="5" t="s">
        <v>64</v>
      </c>
    </row>
    <row r="83" spans="2:4" ht="17" thickBot="1" x14ac:dyDescent="0.25">
      <c r="B83" s="6" t="s">
        <v>20</v>
      </c>
      <c r="C83" s="5" t="s">
        <v>53</v>
      </c>
      <c r="D83" s="5">
        <v>557.5</v>
      </c>
    </row>
    <row r="84" spans="2:4" ht="17" thickBot="1" x14ac:dyDescent="0.25">
      <c r="B84" s="6" t="s">
        <v>19</v>
      </c>
      <c r="C84" s="5" t="s">
        <v>54</v>
      </c>
      <c r="D84" s="5">
        <v>657.09375</v>
      </c>
    </row>
    <row r="85" spans="2:4" ht="17" thickBot="1" x14ac:dyDescent="0.25">
      <c r="B85" s="6" t="s">
        <v>18</v>
      </c>
      <c r="C85" s="5" t="s">
        <v>55</v>
      </c>
      <c r="D85" s="5">
        <v>781.5625</v>
      </c>
    </row>
    <row r="86" spans="2:4" ht="17" thickBot="1" x14ac:dyDescent="0.25">
      <c r="B86" s="6" t="s">
        <v>17</v>
      </c>
      <c r="C86" s="5" t="s">
        <v>56</v>
      </c>
      <c r="D86" s="5">
        <v>704.59375</v>
      </c>
    </row>
    <row r="87" spans="2:4" ht="17" thickBot="1" x14ac:dyDescent="0.25">
      <c r="B87" s="6" t="s">
        <v>21</v>
      </c>
      <c r="C87" s="5" t="s">
        <v>57</v>
      </c>
      <c r="D87" s="5">
        <v>952.03125</v>
      </c>
    </row>
    <row r="88" spans="2:4" ht="17" thickBot="1" x14ac:dyDescent="0.25">
      <c r="B88" s="6" t="s">
        <v>22</v>
      </c>
      <c r="C88" s="5" t="s">
        <v>58</v>
      </c>
      <c r="D88" s="5">
        <v>1551.3125</v>
      </c>
    </row>
    <row r="89" spans="2:4" ht="17" thickBot="1" x14ac:dyDescent="0.25">
      <c r="B89" s="6" t="s">
        <v>23</v>
      </c>
      <c r="C89" s="5" t="s">
        <v>59</v>
      </c>
      <c r="D89" s="5">
        <v>7117.8125</v>
      </c>
    </row>
    <row r="90" spans="2:4" ht="17" thickBot="1" x14ac:dyDescent="0.25">
      <c r="B90" s="6" t="s">
        <v>24</v>
      </c>
      <c r="C90" s="5" t="s">
        <v>60</v>
      </c>
      <c r="D90" s="5">
        <v>299.0625</v>
      </c>
    </row>
    <row r="91" spans="2:4" ht="17" thickBot="1" x14ac:dyDescent="0.25">
      <c r="B91" s="6" t="s">
        <v>25</v>
      </c>
      <c r="C91" s="5" t="s">
        <v>61</v>
      </c>
      <c r="D91" s="5">
        <v>158.21875</v>
      </c>
    </row>
  </sheetData>
  <mergeCells count="40">
    <mergeCell ref="C79:M79"/>
    <mergeCell ref="N79:S79"/>
    <mergeCell ref="C76:M76"/>
    <mergeCell ref="N76:S76"/>
    <mergeCell ref="C77:M77"/>
    <mergeCell ref="N77:S77"/>
    <mergeCell ref="C78:M78"/>
    <mergeCell ref="N78:S78"/>
    <mergeCell ref="C73:M73"/>
    <mergeCell ref="N73:S73"/>
    <mergeCell ref="C74:M74"/>
    <mergeCell ref="N74:S74"/>
    <mergeCell ref="C75:M75"/>
    <mergeCell ref="N75:S75"/>
    <mergeCell ref="O69:R69"/>
    <mergeCell ref="C71:M71"/>
    <mergeCell ref="N71:S71"/>
    <mergeCell ref="C72:M72"/>
    <mergeCell ref="N72:S72"/>
    <mergeCell ref="I49:I50"/>
    <mergeCell ref="J49:J50"/>
    <mergeCell ref="K49:K50"/>
    <mergeCell ref="L49:L50"/>
    <mergeCell ref="B68:L68"/>
    <mergeCell ref="D49:D50"/>
    <mergeCell ref="E49:E50"/>
    <mergeCell ref="F49:F50"/>
    <mergeCell ref="G49:G50"/>
    <mergeCell ref="H49:H50"/>
    <mergeCell ref="K42:O42"/>
    <mergeCell ref="K43:O43"/>
    <mergeCell ref="K44:O44"/>
    <mergeCell ref="K45:O45"/>
    <mergeCell ref="K46:O46"/>
    <mergeCell ref="K41:O41"/>
    <mergeCell ref="K36:O36"/>
    <mergeCell ref="K37:O37"/>
    <mergeCell ref="K38:O38"/>
    <mergeCell ref="K39:O39"/>
    <mergeCell ref="K40:O40"/>
  </mergeCells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23F69-68E4-4D4D-A200-C72769408283}">
  <sheetPr>
    <tabColor theme="9" tint="0.39997558519241921"/>
  </sheetPr>
  <dimension ref="D5:R31"/>
  <sheetViews>
    <sheetView topLeftCell="B1" zoomScale="106" workbookViewId="0">
      <selection activeCell="K8" sqref="K8"/>
    </sheetView>
  </sheetViews>
  <sheetFormatPr baseColWidth="10" defaultRowHeight="16" x14ac:dyDescent="0.2"/>
  <cols>
    <col min="1" max="3" width="10.83203125" style="37"/>
    <col min="4" max="4" width="38" style="37" bestFit="1" customWidth="1"/>
    <col min="5" max="16384" width="10.83203125" style="37"/>
  </cols>
  <sheetData>
    <row r="5" spans="4:18" ht="17" thickBot="1" x14ac:dyDescent="0.25"/>
    <row r="6" spans="4:18" ht="17" thickBot="1" x14ac:dyDescent="0.25">
      <c r="F6" s="6" t="s">
        <v>20</v>
      </c>
      <c r="G6" s="7" t="s">
        <v>19</v>
      </c>
      <c r="H6" s="6" t="s">
        <v>18</v>
      </c>
      <c r="I6" s="6" t="s">
        <v>17</v>
      </c>
      <c r="J6" s="6" t="s">
        <v>21</v>
      </c>
      <c r="K6" s="6" t="s">
        <v>22</v>
      </c>
      <c r="L6" s="6" t="s">
        <v>23</v>
      </c>
      <c r="M6" s="6" t="s">
        <v>24</v>
      </c>
      <c r="N6" s="6" t="s">
        <v>25</v>
      </c>
    </row>
    <row r="7" spans="4:18" ht="17" thickBot="1" x14ac:dyDescent="0.25">
      <c r="F7" s="37" t="s">
        <v>53</v>
      </c>
      <c r="G7" s="37" t="s">
        <v>54</v>
      </c>
      <c r="H7" s="37" t="s">
        <v>55</v>
      </c>
      <c r="I7" s="37" t="s">
        <v>56</v>
      </c>
      <c r="J7" s="37" t="s">
        <v>57</v>
      </c>
      <c r="K7" s="37" t="s">
        <v>58</v>
      </c>
      <c r="L7" s="37" t="s">
        <v>59</v>
      </c>
      <c r="M7" s="37" t="s">
        <v>60</v>
      </c>
      <c r="N7" s="37" t="s">
        <v>61</v>
      </c>
    </row>
    <row r="8" spans="4:18" ht="17" thickBot="1" x14ac:dyDescent="0.25">
      <c r="F8" s="38">
        <v>7500</v>
      </c>
      <c r="G8" s="39">
        <v>5750</v>
      </c>
      <c r="H8" s="39">
        <v>0</v>
      </c>
      <c r="I8" s="39">
        <v>2500</v>
      </c>
      <c r="J8" s="39">
        <v>0</v>
      </c>
      <c r="K8" s="39">
        <v>0</v>
      </c>
      <c r="L8" s="39">
        <v>500</v>
      </c>
      <c r="M8" s="39">
        <v>0</v>
      </c>
      <c r="N8" s="40">
        <v>0</v>
      </c>
    </row>
    <row r="9" spans="4:18" ht="17" thickBot="1" x14ac:dyDescent="0.25">
      <c r="D9" s="37" t="s">
        <v>66</v>
      </c>
      <c r="F9" s="37">
        <v>557.5</v>
      </c>
      <c r="G9" s="37">
        <v>657.09375</v>
      </c>
      <c r="H9" s="37">
        <v>781.5625</v>
      </c>
      <c r="I9" s="37">
        <v>704.59375</v>
      </c>
      <c r="J9" s="37">
        <v>952.03125</v>
      </c>
      <c r="K9" s="37">
        <v>1551.3125</v>
      </c>
      <c r="L9" s="37">
        <v>7117.8125</v>
      </c>
      <c r="M9" s="37">
        <v>299.0625</v>
      </c>
      <c r="N9" s="37">
        <v>158.21875</v>
      </c>
      <c r="Q9" s="41">
        <f>SUMPRODUCT(F8:N8,F9:N9)</f>
        <v>13279929.6875</v>
      </c>
    </row>
    <row r="10" spans="4:18" ht="17" thickBot="1" x14ac:dyDescent="0.25"/>
    <row r="11" spans="4:18" x14ac:dyDescent="0.2">
      <c r="D11" s="35" t="s">
        <v>26</v>
      </c>
      <c r="F11" s="35">
        <v>0</v>
      </c>
      <c r="G11" s="35">
        <v>20</v>
      </c>
      <c r="H11" s="35">
        <v>20</v>
      </c>
      <c r="I11" s="35">
        <v>0</v>
      </c>
      <c r="J11" s="35">
        <v>25</v>
      </c>
      <c r="K11" s="35">
        <v>40</v>
      </c>
      <c r="L11" s="35">
        <v>0</v>
      </c>
      <c r="M11" s="35">
        <v>10</v>
      </c>
      <c r="N11" s="35">
        <v>5</v>
      </c>
      <c r="O11" s="37">
        <f>SUMPRODUCT(F11:N11,$F$8:$N$8)</f>
        <v>115000</v>
      </c>
      <c r="P11" s="42" t="s">
        <v>160</v>
      </c>
      <c r="Q11" s="35">
        <v>300000</v>
      </c>
      <c r="R11" s="37" t="s">
        <v>130</v>
      </c>
    </row>
    <row r="12" spans="4:18" x14ac:dyDescent="0.2">
      <c r="D12" s="9" t="s">
        <v>76</v>
      </c>
      <c r="F12" s="9">
        <v>0</v>
      </c>
      <c r="G12" s="9">
        <v>0</v>
      </c>
      <c r="H12" s="9">
        <v>0</v>
      </c>
      <c r="I12" s="9">
        <v>0</v>
      </c>
      <c r="J12" s="9">
        <v>0</v>
      </c>
      <c r="K12" s="9">
        <v>0</v>
      </c>
      <c r="L12" s="9">
        <v>20</v>
      </c>
      <c r="M12" s="9">
        <v>0</v>
      </c>
      <c r="N12" s="9">
        <v>0</v>
      </c>
      <c r="O12" s="37">
        <f>SUMPRODUCT(F12:N12,$F$8:$N$8)</f>
        <v>10000</v>
      </c>
      <c r="P12" s="43" t="s">
        <v>160</v>
      </c>
      <c r="Q12" s="9">
        <v>10000</v>
      </c>
      <c r="R12" s="37" t="s">
        <v>130</v>
      </c>
    </row>
    <row r="13" spans="4:18" x14ac:dyDescent="0.2">
      <c r="D13" s="9" t="s">
        <v>146</v>
      </c>
      <c r="F13" s="9">
        <v>0</v>
      </c>
      <c r="G13" s="9">
        <v>0</v>
      </c>
      <c r="H13" s="9">
        <v>0</v>
      </c>
      <c r="I13" s="9">
        <v>20</v>
      </c>
      <c r="J13" s="9">
        <v>0</v>
      </c>
      <c r="K13" s="9">
        <v>0</v>
      </c>
      <c r="L13" s="9">
        <v>0</v>
      </c>
      <c r="M13" s="9">
        <v>0</v>
      </c>
      <c r="N13" s="9">
        <v>0</v>
      </c>
      <c r="O13" s="37">
        <f t="shared" ref="O13:O19" si="0">SUMPRODUCT(F13:N13,$F$8:$N$8)</f>
        <v>50000</v>
      </c>
      <c r="P13" s="43" t="s">
        <v>160</v>
      </c>
      <c r="Q13" s="9">
        <v>50000</v>
      </c>
      <c r="R13" s="37" t="s">
        <v>130</v>
      </c>
    </row>
    <row r="14" spans="4:18" x14ac:dyDescent="0.2">
      <c r="D14" s="9" t="s">
        <v>147</v>
      </c>
      <c r="F14" s="9">
        <v>20</v>
      </c>
      <c r="G14" s="9">
        <v>0</v>
      </c>
      <c r="H14" s="9">
        <v>0</v>
      </c>
      <c r="I14" s="9">
        <v>0</v>
      </c>
      <c r="J14" s="9">
        <v>0</v>
      </c>
      <c r="K14" s="9">
        <v>0</v>
      </c>
      <c r="L14" s="9">
        <v>0</v>
      </c>
      <c r="M14" s="9">
        <v>0</v>
      </c>
      <c r="N14" s="9">
        <v>0</v>
      </c>
      <c r="O14" s="37">
        <f t="shared" si="0"/>
        <v>150000</v>
      </c>
      <c r="P14" s="43" t="s">
        <v>160</v>
      </c>
      <c r="Q14" s="9">
        <v>150000</v>
      </c>
      <c r="R14" s="37" t="s">
        <v>130</v>
      </c>
    </row>
    <row r="15" spans="4:18" x14ac:dyDescent="0.2">
      <c r="D15" s="9" t="s">
        <v>36</v>
      </c>
      <c r="F15" s="9">
        <v>0</v>
      </c>
      <c r="G15" s="9">
        <v>0</v>
      </c>
      <c r="H15" s="9">
        <v>0</v>
      </c>
      <c r="I15" s="9">
        <v>1</v>
      </c>
      <c r="J15" s="9">
        <v>1</v>
      </c>
      <c r="K15" s="9">
        <v>1</v>
      </c>
      <c r="L15" s="9">
        <v>0</v>
      </c>
      <c r="M15" s="9">
        <v>0</v>
      </c>
      <c r="N15" s="9">
        <v>0</v>
      </c>
      <c r="O15" s="37">
        <f t="shared" si="0"/>
        <v>2500</v>
      </c>
      <c r="P15" s="43" t="s">
        <v>160</v>
      </c>
      <c r="Q15" s="9">
        <v>1500000</v>
      </c>
      <c r="R15" s="37" t="s">
        <v>148</v>
      </c>
    </row>
    <row r="16" spans="4:18" x14ac:dyDescent="0.2">
      <c r="D16" s="9" t="s">
        <v>150</v>
      </c>
      <c r="F16" s="9">
        <v>1</v>
      </c>
      <c r="G16" s="9">
        <v>1</v>
      </c>
      <c r="H16" s="9">
        <v>1</v>
      </c>
      <c r="I16" s="9">
        <v>1</v>
      </c>
      <c r="J16" s="9">
        <v>1</v>
      </c>
      <c r="K16" s="9">
        <v>1</v>
      </c>
      <c r="L16" s="9">
        <v>1</v>
      </c>
      <c r="M16" s="9">
        <v>1</v>
      </c>
      <c r="N16" s="9">
        <v>1</v>
      </c>
      <c r="O16" s="37">
        <f t="shared" si="0"/>
        <v>16250</v>
      </c>
      <c r="P16" s="43" t="s">
        <v>160</v>
      </c>
      <c r="Q16" s="9">
        <v>22000</v>
      </c>
      <c r="R16" s="37" t="s">
        <v>149</v>
      </c>
    </row>
    <row r="17" spans="4:18" x14ac:dyDescent="0.2">
      <c r="D17" s="9" t="s">
        <v>153</v>
      </c>
      <c r="F17" s="9">
        <v>0</v>
      </c>
      <c r="G17" s="9">
        <v>0</v>
      </c>
      <c r="H17" s="9">
        <v>0</v>
      </c>
      <c r="I17" s="9">
        <v>0</v>
      </c>
      <c r="J17" s="9">
        <v>1</v>
      </c>
      <c r="K17" s="9">
        <v>0</v>
      </c>
      <c r="L17" s="9">
        <v>0</v>
      </c>
      <c r="M17" s="9">
        <v>0</v>
      </c>
      <c r="N17" s="9">
        <v>0</v>
      </c>
      <c r="O17" s="37">
        <f t="shared" si="0"/>
        <v>0</v>
      </c>
      <c r="P17" s="43" t="s">
        <v>160</v>
      </c>
      <c r="Q17" s="9">
        <f>9000/12</f>
        <v>750</v>
      </c>
      <c r="R17" s="37" t="s">
        <v>149</v>
      </c>
    </row>
    <row r="18" spans="4:18" x14ac:dyDescent="0.2">
      <c r="D18" s="9" t="s">
        <v>152</v>
      </c>
      <c r="F18" s="9">
        <v>1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37">
        <f t="shared" si="0"/>
        <v>7500</v>
      </c>
      <c r="P18" s="43" t="s">
        <v>160</v>
      </c>
      <c r="Q18" s="9">
        <f>120000/12</f>
        <v>10000</v>
      </c>
      <c r="R18" s="37" t="s">
        <v>151</v>
      </c>
    </row>
    <row r="19" spans="4:18" ht="17" thickBot="1" x14ac:dyDescent="0.25">
      <c r="D19" s="10" t="s">
        <v>159</v>
      </c>
      <c r="F19" s="10">
        <v>0.5</v>
      </c>
      <c r="G19" s="10">
        <v>1</v>
      </c>
      <c r="H19" s="10">
        <v>1.5</v>
      </c>
      <c r="I19" s="10">
        <v>1</v>
      </c>
      <c r="J19" s="10">
        <v>2</v>
      </c>
      <c r="K19" s="10">
        <v>3</v>
      </c>
      <c r="L19" s="10">
        <v>6</v>
      </c>
      <c r="M19" s="10">
        <v>0.5</v>
      </c>
      <c r="N19" s="10">
        <v>0.25</v>
      </c>
      <c r="O19" s="37">
        <f t="shared" si="0"/>
        <v>15000</v>
      </c>
      <c r="P19" s="44" t="s">
        <v>160</v>
      </c>
      <c r="Q19" s="10">
        <v>15000</v>
      </c>
      <c r="R19" s="37" t="s">
        <v>158</v>
      </c>
    </row>
    <row r="20" spans="4:18" x14ac:dyDescent="0.2">
      <c r="D20" s="5"/>
      <c r="F20" s="5"/>
      <c r="G20" s="5"/>
      <c r="H20" s="5"/>
      <c r="I20" s="5"/>
      <c r="J20" s="5"/>
      <c r="K20" s="5"/>
      <c r="L20" s="5"/>
      <c r="M20" s="5"/>
      <c r="N20" s="5"/>
      <c r="Q20" s="5"/>
    </row>
    <row r="21" spans="4:18" x14ac:dyDescent="0.2">
      <c r="D21" s="5"/>
      <c r="F21" s="5"/>
      <c r="G21" s="5"/>
      <c r="H21" s="5"/>
      <c r="I21" s="5"/>
      <c r="J21" s="5"/>
      <c r="K21" s="5"/>
      <c r="L21" s="5"/>
      <c r="M21" s="5"/>
      <c r="N21" s="5"/>
      <c r="Q21" s="5"/>
    </row>
    <row r="22" spans="4:18" x14ac:dyDescent="0.2">
      <c r="D22" s="5"/>
      <c r="F22" s="5"/>
      <c r="G22" s="5"/>
      <c r="H22" s="5"/>
      <c r="I22" s="5"/>
      <c r="J22" s="5"/>
      <c r="K22" s="5"/>
      <c r="L22" s="5"/>
      <c r="M22" s="5"/>
      <c r="N22" s="5"/>
      <c r="Q22" s="5"/>
    </row>
    <row r="23" spans="4:18" x14ac:dyDescent="0.2">
      <c r="D23" s="5"/>
      <c r="F23" s="5"/>
      <c r="G23" s="5"/>
      <c r="H23" s="5"/>
      <c r="I23" s="5"/>
      <c r="J23" s="5"/>
      <c r="K23" s="5"/>
      <c r="L23" s="5"/>
      <c r="M23" s="5"/>
      <c r="N23" s="5"/>
      <c r="Q23" s="5"/>
    </row>
    <row r="24" spans="4:18" x14ac:dyDescent="0.2">
      <c r="D24" s="5"/>
      <c r="F24" s="5"/>
      <c r="G24" s="5"/>
      <c r="H24" s="5"/>
      <c r="I24" s="5"/>
      <c r="J24" s="5"/>
      <c r="K24" s="5"/>
      <c r="L24" s="5"/>
      <c r="M24" s="5"/>
      <c r="N24" s="5"/>
      <c r="Q24" s="5"/>
    </row>
    <row r="25" spans="4:18" x14ac:dyDescent="0.2">
      <c r="D25" s="5"/>
      <c r="F25" s="5"/>
      <c r="G25" s="5"/>
      <c r="H25" s="5"/>
      <c r="I25" s="5"/>
      <c r="J25" s="5"/>
      <c r="K25" s="5"/>
      <c r="L25" s="5"/>
      <c r="M25" s="5"/>
      <c r="N25" s="5"/>
      <c r="Q25" s="5"/>
    </row>
    <row r="26" spans="4:18" x14ac:dyDescent="0.2">
      <c r="D26" s="5"/>
      <c r="F26" s="5"/>
      <c r="G26" s="5"/>
      <c r="H26" s="5"/>
      <c r="I26" s="5"/>
      <c r="J26" s="5"/>
      <c r="K26" s="5"/>
      <c r="L26" s="5"/>
      <c r="M26" s="5"/>
      <c r="N26" s="5"/>
      <c r="Q26" s="5"/>
    </row>
    <row r="27" spans="4:18" x14ac:dyDescent="0.2">
      <c r="D27" s="5"/>
      <c r="F27" s="5"/>
      <c r="G27" s="5"/>
      <c r="H27" s="5"/>
      <c r="I27" s="5"/>
      <c r="J27" s="5"/>
      <c r="K27" s="5"/>
      <c r="L27" s="5"/>
      <c r="M27" s="5"/>
      <c r="N27" s="5"/>
      <c r="Q27" s="5"/>
    </row>
    <row r="28" spans="4:18" x14ac:dyDescent="0.2">
      <c r="D28" s="5"/>
      <c r="F28" s="5"/>
      <c r="G28" s="5"/>
      <c r="H28" s="5"/>
      <c r="I28" s="5"/>
      <c r="J28" s="5"/>
      <c r="K28" s="5"/>
      <c r="L28" s="5"/>
      <c r="M28" s="5"/>
      <c r="N28" s="5"/>
      <c r="Q28" s="5"/>
    </row>
    <row r="29" spans="4:18" x14ac:dyDescent="0.2">
      <c r="D29" s="5"/>
      <c r="F29" s="5"/>
      <c r="G29" s="5"/>
      <c r="H29" s="5"/>
      <c r="I29" s="5"/>
      <c r="J29" s="5"/>
      <c r="K29" s="5"/>
      <c r="L29" s="5"/>
      <c r="M29" s="5"/>
      <c r="N29" s="5"/>
      <c r="Q29" s="5"/>
    </row>
    <row r="30" spans="4:18" x14ac:dyDescent="0.2">
      <c r="D30" s="5"/>
      <c r="F30" s="5"/>
      <c r="G30" s="5"/>
      <c r="H30" s="5"/>
      <c r="I30" s="5"/>
      <c r="J30" s="5"/>
      <c r="K30" s="5"/>
      <c r="L30" s="5"/>
      <c r="M30" s="5"/>
      <c r="N30" s="5"/>
      <c r="Q30" s="5"/>
    </row>
    <row r="31" spans="4:18" x14ac:dyDescent="0.2">
      <c r="D31" s="5"/>
      <c r="F31" s="5"/>
      <c r="G31" s="5"/>
      <c r="H31" s="5"/>
      <c r="I31" s="5"/>
      <c r="J31" s="5"/>
      <c r="K31" s="5"/>
      <c r="L31" s="5"/>
      <c r="M31" s="5"/>
      <c r="N31" s="5"/>
      <c r="Q31" s="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3B72E-70A8-CF49-9B41-54D2CD2D2BBF}">
  <sheetPr>
    <tabColor theme="9" tint="0.39997558519241921"/>
  </sheetPr>
  <dimension ref="A1:H30"/>
  <sheetViews>
    <sheetView showGridLines="0" topLeftCell="A6" zoomScale="150" workbookViewId="0">
      <selection sqref="A1:A3"/>
    </sheetView>
  </sheetViews>
  <sheetFormatPr baseColWidth="10" defaultRowHeight="16" x14ac:dyDescent="0.2"/>
  <cols>
    <col min="1" max="1" width="2.33203125" customWidth="1"/>
    <col min="2" max="2" width="6.5" bestFit="1" customWidth="1"/>
    <col min="3" max="3" width="37" bestFit="1" customWidth="1"/>
    <col min="4" max="4" width="7.1640625" bestFit="1" customWidth="1"/>
    <col min="5" max="5" width="12.1640625" bestFit="1" customWidth="1"/>
    <col min="6" max="6" width="10.1640625" bestFit="1" customWidth="1"/>
    <col min="7" max="7" width="12.1640625" bestFit="1" customWidth="1"/>
    <col min="8" max="8" width="11.1640625" bestFit="1" customWidth="1"/>
  </cols>
  <sheetData>
    <row r="1" spans="1:8" x14ac:dyDescent="0.2">
      <c r="A1" s="29" t="s">
        <v>116</v>
      </c>
    </row>
    <row r="2" spans="1:8" x14ac:dyDescent="0.2">
      <c r="A2" s="29" t="s">
        <v>161</v>
      </c>
    </row>
    <row r="3" spans="1:8" x14ac:dyDescent="0.2">
      <c r="A3" s="29" t="s">
        <v>210</v>
      </c>
    </row>
    <row r="6" spans="1:8" ht="17" thickBot="1" x14ac:dyDescent="0.25">
      <c r="A6" t="s">
        <v>88</v>
      </c>
    </row>
    <row r="7" spans="1:8" x14ac:dyDescent="0.2">
      <c r="B7" s="33"/>
      <c r="C7" s="33"/>
      <c r="D7" s="33" t="s">
        <v>117</v>
      </c>
      <c r="E7" s="33" t="s">
        <v>119</v>
      </c>
      <c r="F7" s="33" t="s">
        <v>121</v>
      </c>
      <c r="G7" s="33" t="s">
        <v>123</v>
      </c>
      <c r="H7" s="33" t="s">
        <v>123</v>
      </c>
    </row>
    <row r="8" spans="1:8" ht="17" thickBot="1" x14ac:dyDescent="0.25">
      <c r="B8" s="34" t="s">
        <v>84</v>
      </c>
      <c r="C8" s="34" t="s">
        <v>85</v>
      </c>
      <c r="D8" s="34" t="s">
        <v>118</v>
      </c>
      <c r="E8" s="34" t="s">
        <v>120</v>
      </c>
      <c r="F8" s="34" t="s">
        <v>122</v>
      </c>
      <c r="G8" s="34" t="s">
        <v>124</v>
      </c>
      <c r="H8" s="34" t="s">
        <v>125</v>
      </c>
    </row>
    <row r="9" spans="1:8" x14ac:dyDescent="0.2">
      <c r="B9" s="32" t="s">
        <v>95</v>
      </c>
      <c r="C9" s="32" t="s">
        <v>53</v>
      </c>
      <c r="D9" s="32">
        <v>7500</v>
      </c>
      <c r="E9" s="32">
        <v>0</v>
      </c>
      <c r="F9" s="32">
        <v>557.5</v>
      </c>
      <c r="G9" s="32">
        <v>1E+30</v>
      </c>
      <c r="H9" s="32">
        <v>228.95312500000003</v>
      </c>
    </row>
    <row r="10" spans="1:8" x14ac:dyDescent="0.2">
      <c r="B10" s="32" t="s">
        <v>97</v>
      </c>
      <c r="C10" s="32" t="s">
        <v>54</v>
      </c>
      <c r="D10" s="32">
        <v>5750</v>
      </c>
      <c r="E10" s="32">
        <v>0</v>
      </c>
      <c r="F10" s="32">
        <v>657.09375</v>
      </c>
      <c r="G10" s="32">
        <v>47.5</v>
      </c>
      <c r="H10" s="32">
        <v>24.21875</v>
      </c>
    </row>
    <row r="11" spans="1:8" x14ac:dyDescent="0.2">
      <c r="B11" s="32" t="s">
        <v>98</v>
      </c>
      <c r="C11" s="32" t="s">
        <v>55</v>
      </c>
      <c r="D11" s="32">
        <v>0</v>
      </c>
      <c r="E11" s="32">
        <v>-204.07812500000006</v>
      </c>
      <c r="F11" s="32">
        <v>781.5625</v>
      </c>
      <c r="G11" s="32">
        <v>204.07812500000006</v>
      </c>
      <c r="H11" s="32">
        <v>1E+30</v>
      </c>
    </row>
    <row r="12" spans="1:8" x14ac:dyDescent="0.2">
      <c r="B12" s="32" t="s">
        <v>99</v>
      </c>
      <c r="C12" s="32" t="s">
        <v>56</v>
      </c>
      <c r="D12" s="32">
        <v>2500</v>
      </c>
      <c r="E12" s="32">
        <v>0</v>
      </c>
      <c r="F12" s="32">
        <v>704.59375</v>
      </c>
      <c r="G12" s="32">
        <v>1E+30</v>
      </c>
      <c r="H12" s="32">
        <v>47.5</v>
      </c>
    </row>
    <row r="13" spans="1:8" x14ac:dyDescent="0.2">
      <c r="B13" s="32" t="s">
        <v>100</v>
      </c>
      <c r="C13" s="32" t="s">
        <v>57</v>
      </c>
      <c r="D13" s="32">
        <v>0</v>
      </c>
      <c r="E13" s="32">
        <v>-362.15625</v>
      </c>
      <c r="F13" s="32">
        <v>952.03125</v>
      </c>
      <c r="G13" s="32">
        <v>362.15625</v>
      </c>
      <c r="H13" s="32">
        <v>1E+30</v>
      </c>
    </row>
    <row r="14" spans="1:8" x14ac:dyDescent="0.2">
      <c r="B14" s="32" t="s">
        <v>101</v>
      </c>
      <c r="C14" s="32" t="s">
        <v>58</v>
      </c>
      <c r="D14" s="32">
        <v>0</v>
      </c>
      <c r="E14" s="32">
        <v>-419.96875000000011</v>
      </c>
      <c r="F14" s="32">
        <v>1551.3125</v>
      </c>
      <c r="G14" s="32">
        <v>419.96875000000011</v>
      </c>
      <c r="H14" s="32">
        <v>1E+30</v>
      </c>
    </row>
    <row r="15" spans="1:8" x14ac:dyDescent="0.2">
      <c r="B15" s="32" t="s">
        <v>102</v>
      </c>
      <c r="C15" s="32" t="s">
        <v>59</v>
      </c>
      <c r="D15" s="32">
        <v>500</v>
      </c>
      <c r="E15" s="32">
        <v>0</v>
      </c>
      <c r="F15" s="32">
        <v>7117.8125</v>
      </c>
      <c r="G15" s="32">
        <v>1E+30</v>
      </c>
      <c r="H15" s="32">
        <v>3175.2499999999991</v>
      </c>
    </row>
    <row r="16" spans="1:8" x14ac:dyDescent="0.2">
      <c r="B16" s="32" t="s">
        <v>103</v>
      </c>
      <c r="C16" s="32" t="s">
        <v>60</v>
      </c>
      <c r="D16" s="32">
        <v>0</v>
      </c>
      <c r="E16" s="32">
        <v>-29.484375</v>
      </c>
      <c r="F16" s="32">
        <v>299.0625</v>
      </c>
      <c r="G16" s="32">
        <v>29.484375</v>
      </c>
      <c r="H16" s="32">
        <v>1E+30</v>
      </c>
    </row>
    <row r="17" spans="1:8" ht="17" thickBot="1" x14ac:dyDescent="0.25">
      <c r="B17" s="30" t="s">
        <v>104</v>
      </c>
      <c r="C17" s="30" t="s">
        <v>61</v>
      </c>
      <c r="D17" s="30">
        <v>0</v>
      </c>
      <c r="E17" s="30">
        <v>-6.0546875</v>
      </c>
      <c r="F17" s="30">
        <v>158.21875</v>
      </c>
      <c r="G17" s="30">
        <v>6.0546875</v>
      </c>
      <c r="H17" s="30">
        <v>1E+30</v>
      </c>
    </row>
    <row r="19" spans="1:8" ht="17" thickBot="1" x14ac:dyDescent="0.25">
      <c r="A19" t="s">
        <v>90</v>
      </c>
    </row>
    <row r="20" spans="1:8" x14ac:dyDescent="0.2">
      <c r="B20" s="33"/>
      <c r="C20" s="33"/>
      <c r="D20" s="33" t="s">
        <v>117</v>
      </c>
      <c r="E20" s="33" t="s">
        <v>126</v>
      </c>
      <c r="F20" s="33" t="s">
        <v>128</v>
      </c>
      <c r="G20" s="33" t="s">
        <v>123</v>
      </c>
      <c r="H20" s="33" t="s">
        <v>123</v>
      </c>
    </row>
    <row r="21" spans="1:8" ht="17" thickBot="1" x14ac:dyDescent="0.25">
      <c r="B21" s="34" t="s">
        <v>84</v>
      </c>
      <c r="C21" s="34" t="s">
        <v>85</v>
      </c>
      <c r="D21" s="34" t="s">
        <v>118</v>
      </c>
      <c r="E21" s="34" t="s">
        <v>127</v>
      </c>
      <c r="F21" s="34" t="s">
        <v>129</v>
      </c>
      <c r="G21" s="34" t="s">
        <v>124</v>
      </c>
      <c r="H21" s="34" t="s">
        <v>125</v>
      </c>
    </row>
    <row r="22" spans="1:8" x14ac:dyDescent="0.2">
      <c r="B22" s="32" t="s">
        <v>105</v>
      </c>
      <c r="C22" s="32" t="s">
        <v>26</v>
      </c>
      <c r="D22" s="32">
        <v>115000</v>
      </c>
      <c r="E22" s="32">
        <v>0</v>
      </c>
      <c r="F22" s="32">
        <v>300000</v>
      </c>
      <c r="G22" s="32">
        <v>1E+30</v>
      </c>
      <c r="H22" s="32">
        <v>184999.99999999997</v>
      </c>
    </row>
    <row r="23" spans="1:8" x14ac:dyDescent="0.2">
      <c r="B23" s="32" t="s">
        <v>107</v>
      </c>
      <c r="C23" s="32" t="s">
        <v>76</v>
      </c>
      <c r="D23" s="32">
        <v>10000</v>
      </c>
      <c r="E23" s="32">
        <v>158.76249999999996</v>
      </c>
      <c r="F23" s="32">
        <v>10000</v>
      </c>
      <c r="G23" s="32">
        <v>19166.666666666664</v>
      </c>
      <c r="H23" s="32">
        <v>10000</v>
      </c>
    </row>
    <row r="24" spans="1:8" x14ac:dyDescent="0.2">
      <c r="B24" s="32" t="s">
        <v>109</v>
      </c>
      <c r="C24" s="32" t="s">
        <v>146</v>
      </c>
      <c r="D24" s="32">
        <v>50000</v>
      </c>
      <c r="E24" s="32">
        <v>2.375</v>
      </c>
      <c r="F24" s="32">
        <v>50000</v>
      </c>
      <c r="G24" s="32">
        <v>115000</v>
      </c>
      <c r="H24" s="32">
        <v>50000</v>
      </c>
    </row>
    <row r="25" spans="1:8" x14ac:dyDescent="0.2">
      <c r="B25" s="32" t="s">
        <v>110</v>
      </c>
      <c r="C25" s="32" t="s">
        <v>147</v>
      </c>
      <c r="D25" s="32">
        <v>150000</v>
      </c>
      <c r="E25" s="32">
        <v>11.447656250000001</v>
      </c>
      <c r="F25" s="32">
        <v>150000</v>
      </c>
      <c r="G25" s="32">
        <v>50000</v>
      </c>
      <c r="H25" s="32">
        <v>150000</v>
      </c>
    </row>
    <row r="26" spans="1:8" x14ac:dyDescent="0.2">
      <c r="B26" s="32" t="s">
        <v>111</v>
      </c>
      <c r="C26" s="32" t="s">
        <v>36</v>
      </c>
      <c r="D26" s="32">
        <v>2500</v>
      </c>
      <c r="E26" s="32">
        <v>0</v>
      </c>
      <c r="F26" s="32">
        <v>1500000</v>
      </c>
      <c r="G26" s="32">
        <v>1E+30</v>
      </c>
      <c r="H26" s="32">
        <v>1497500</v>
      </c>
    </row>
    <row r="27" spans="1:8" x14ac:dyDescent="0.2">
      <c r="B27" s="32" t="s">
        <v>112</v>
      </c>
      <c r="C27" s="32" t="s">
        <v>150</v>
      </c>
      <c r="D27" s="32">
        <v>16250</v>
      </c>
      <c r="E27" s="32">
        <v>0</v>
      </c>
      <c r="F27" s="32">
        <v>22000</v>
      </c>
      <c r="G27" s="32">
        <v>1E+30</v>
      </c>
      <c r="H27" s="32">
        <v>5750</v>
      </c>
    </row>
    <row r="28" spans="1:8" x14ac:dyDescent="0.2">
      <c r="B28" s="32" t="s">
        <v>113</v>
      </c>
      <c r="C28" s="32" t="s">
        <v>153</v>
      </c>
      <c r="D28" s="32">
        <v>0</v>
      </c>
      <c r="E28" s="32">
        <v>0</v>
      </c>
      <c r="F28" s="32">
        <v>750</v>
      </c>
      <c r="G28" s="32">
        <v>1E+30</v>
      </c>
      <c r="H28" s="32">
        <v>750</v>
      </c>
    </row>
    <row r="29" spans="1:8" x14ac:dyDescent="0.2">
      <c r="B29" s="32" t="s">
        <v>114</v>
      </c>
      <c r="C29" s="32" t="s">
        <v>152</v>
      </c>
      <c r="D29" s="32">
        <v>7500</v>
      </c>
      <c r="E29" s="32">
        <v>0</v>
      </c>
      <c r="F29" s="32">
        <v>10000</v>
      </c>
      <c r="G29" s="32">
        <v>1E+30</v>
      </c>
      <c r="H29" s="32">
        <v>2500</v>
      </c>
    </row>
    <row r="30" spans="1:8" ht="17" thickBot="1" x14ac:dyDescent="0.25">
      <c r="B30" s="30" t="s">
        <v>115</v>
      </c>
      <c r="C30" s="30" t="s">
        <v>159</v>
      </c>
      <c r="D30" s="30">
        <v>15000</v>
      </c>
      <c r="E30" s="30">
        <v>657.09375</v>
      </c>
      <c r="F30" s="30">
        <v>15000</v>
      </c>
      <c r="G30" s="30">
        <v>5750</v>
      </c>
      <c r="H30" s="30">
        <v>5750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A3FD0-324E-294A-87BA-AFF3D07B7EAE}">
  <sheetPr>
    <tabColor theme="9" tint="0.39997558519241921"/>
  </sheetPr>
  <dimension ref="A1:G42"/>
  <sheetViews>
    <sheetView showGridLines="0" tabSelected="1" topLeftCell="A6" workbookViewId="0"/>
  </sheetViews>
  <sheetFormatPr baseColWidth="10" defaultRowHeight="16" x14ac:dyDescent="0.2"/>
  <cols>
    <col min="1" max="1" width="2.33203125" customWidth="1"/>
    <col min="2" max="2" width="6.5" bestFit="1" customWidth="1"/>
    <col min="3" max="3" width="37" bestFit="1" customWidth="1"/>
    <col min="4" max="4" width="12.83203125" bestFit="1" customWidth="1"/>
    <col min="5" max="5" width="13.83203125" bestFit="1" customWidth="1"/>
    <col min="6" max="6" width="10.83203125" bestFit="1" customWidth="1"/>
    <col min="7" max="7" width="8.1640625" bestFit="1" customWidth="1"/>
  </cols>
  <sheetData>
    <row r="1" spans="1:5" x14ac:dyDescent="0.2">
      <c r="A1" s="29" t="s">
        <v>77</v>
      </c>
    </row>
    <row r="2" spans="1:5" x14ac:dyDescent="0.2">
      <c r="A2" s="29" t="s">
        <v>161</v>
      </c>
    </row>
    <row r="3" spans="1:5" x14ac:dyDescent="0.2">
      <c r="A3" s="29" t="s">
        <v>208</v>
      </c>
    </row>
    <row r="4" spans="1:5" x14ac:dyDescent="0.2">
      <c r="A4" s="29" t="s">
        <v>78</v>
      </c>
    </row>
    <row r="5" spans="1:5" x14ac:dyDescent="0.2">
      <c r="A5" s="29" t="s">
        <v>79</v>
      </c>
    </row>
    <row r="6" spans="1:5" x14ac:dyDescent="0.2">
      <c r="A6" s="29"/>
      <c r="B6" t="s">
        <v>80</v>
      </c>
    </row>
    <row r="7" spans="1:5" x14ac:dyDescent="0.2">
      <c r="A7" s="29"/>
      <c r="B7" t="s">
        <v>209</v>
      </c>
    </row>
    <row r="8" spans="1:5" x14ac:dyDescent="0.2">
      <c r="A8" s="29"/>
      <c r="B8" t="s">
        <v>162</v>
      </c>
    </row>
    <row r="9" spans="1:5" x14ac:dyDescent="0.2">
      <c r="A9" s="29" t="s">
        <v>81</v>
      </c>
    </row>
    <row r="10" spans="1:5" x14ac:dyDescent="0.2">
      <c r="B10" t="s">
        <v>163</v>
      </c>
    </row>
    <row r="11" spans="1:5" x14ac:dyDescent="0.2">
      <c r="B11" t="s">
        <v>82</v>
      </c>
    </row>
    <row r="14" spans="1:5" ht="17" thickBot="1" x14ac:dyDescent="0.25">
      <c r="A14" t="s">
        <v>83</v>
      </c>
    </row>
    <row r="15" spans="1:5" ht="17" thickBot="1" x14ac:dyDescent="0.25">
      <c r="B15" s="31" t="s">
        <v>84</v>
      </c>
      <c r="C15" s="31" t="s">
        <v>85</v>
      </c>
      <c r="D15" s="31" t="s">
        <v>86</v>
      </c>
      <c r="E15" s="31" t="s">
        <v>87</v>
      </c>
    </row>
    <row r="16" spans="1:5" ht="17" thickBot="1" x14ac:dyDescent="0.25">
      <c r="B16" s="30" t="s">
        <v>164</v>
      </c>
      <c r="C16" s="30" t="s">
        <v>66</v>
      </c>
      <c r="D16" s="30">
        <v>11791734.375</v>
      </c>
      <c r="E16" s="30">
        <v>13279929.6875</v>
      </c>
    </row>
    <row r="19" spans="1:6" ht="17" thickBot="1" x14ac:dyDescent="0.25">
      <c r="A19" t="s">
        <v>88</v>
      </c>
    </row>
    <row r="20" spans="1:6" ht="17" thickBot="1" x14ac:dyDescent="0.25">
      <c r="B20" s="31" t="s">
        <v>84</v>
      </c>
      <c r="C20" s="31" t="s">
        <v>85</v>
      </c>
      <c r="D20" s="31" t="s">
        <v>86</v>
      </c>
      <c r="E20" s="31" t="s">
        <v>87</v>
      </c>
      <c r="F20" s="31" t="s">
        <v>89</v>
      </c>
    </row>
    <row r="21" spans="1:6" x14ac:dyDescent="0.2">
      <c r="B21" s="32" t="s">
        <v>95</v>
      </c>
      <c r="C21" s="32" t="s">
        <v>53</v>
      </c>
      <c r="D21" s="32">
        <v>1000</v>
      </c>
      <c r="E21" s="32">
        <v>7500</v>
      </c>
      <c r="F21" s="32" t="s">
        <v>96</v>
      </c>
    </row>
    <row r="22" spans="1:6" x14ac:dyDescent="0.2">
      <c r="B22" s="32" t="s">
        <v>97</v>
      </c>
      <c r="C22" s="32" t="s">
        <v>54</v>
      </c>
      <c r="D22" s="32">
        <v>9000</v>
      </c>
      <c r="E22" s="32">
        <v>5750</v>
      </c>
      <c r="F22" s="32" t="s">
        <v>96</v>
      </c>
    </row>
    <row r="23" spans="1:6" x14ac:dyDescent="0.2">
      <c r="B23" s="32" t="s">
        <v>98</v>
      </c>
      <c r="C23" s="32" t="s">
        <v>55</v>
      </c>
      <c r="D23" s="32">
        <v>0</v>
      </c>
      <c r="E23" s="32">
        <v>0</v>
      </c>
      <c r="F23" s="32" t="s">
        <v>96</v>
      </c>
    </row>
    <row r="24" spans="1:6" x14ac:dyDescent="0.2">
      <c r="B24" s="32" t="s">
        <v>99</v>
      </c>
      <c r="C24" s="32" t="s">
        <v>56</v>
      </c>
      <c r="D24" s="32">
        <v>2500</v>
      </c>
      <c r="E24" s="32">
        <v>2500</v>
      </c>
      <c r="F24" s="32" t="s">
        <v>96</v>
      </c>
    </row>
    <row r="25" spans="1:6" x14ac:dyDescent="0.2">
      <c r="B25" s="32" t="s">
        <v>100</v>
      </c>
      <c r="C25" s="32" t="s">
        <v>57</v>
      </c>
      <c r="D25" s="32">
        <v>0</v>
      </c>
      <c r="E25" s="32">
        <v>0</v>
      </c>
      <c r="F25" s="32" t="s">
        <v>96</v>
      </c>
    </row>
    <row r="26" spans="1:6" x14ac:dyDescent="0.2">
      <c r="B26" s="32" t="s">
        <v>101</v>
      </c>
      <c r="C26" s="32" t="s">
        <v>58</v>
      </c>
      <c r="D26" s="32">
        <v>0</v>
      </c>
      <c r="E26" s="32">
        <v>0</v>
      </c>
      <c r="F26" s="32" t="s">
        <v>96</v>
      </c>
    </row>
    <row r="27" spans="1:6" x14ac:dyDescent="0.2">
      <c r="B27" s="32" t="s">
        <v>102</v>
      </c>
      <c r="C27" s="32" t="s">
        <v>59</v>
      </c>
      <c r="D27" s="32">
        <v>500</v>
      </c>
      <c r="E27" s="32">
        <v>500</v>
      </c>
      <c r="F27" s="32" t="s">
        <v>96</v>
      </c>
    </row>
    <row r="28" spans="1:6" x14ac:dyDescent="0.2">
      <c r="B28" s="32" t="s">
        <v>103</v>
      </c>
      <c r="C28" s="32" t="s">
        <v>60</v>
      </c>
      <c r="D28" s="32">
        <v>0</v>
      </c>
      <c r="E28" s="32">
        <v>0</v>
      </c>
      <c r="F28" s="32" t="s">
        <v>96</v>
      </c>
    </row>
    <row r="29" spans="1:6" ht="17" thickBot="1" x14ac:dyDescent="0.25">
      <c r="B29" s="30" t="s">
        <v>104</v>
      </c>
      <c r="C29" s="30" t="s">
        <v>61</v>
      </c>
      <c r="D29" s="30">
        <v>0</v>
      </c>
      <c r="E29" s="30">
        <v>0</v>
      </c>
      <c r="F29" s="30" t="s">
        <v>96</v>
      </c>
    </row>
    <row r="32" spans="1:6" ht="17" thickBot="1" x14ac:dyDescent="0.25">
      <c r="A32" t="s">
        <v>90</v>
      </c>
    </row>
    <row r="33" spans="2:7" ht="17" thickBot="1" x14ac:dyDescent="0.25">
      <c r="B33" s="31" t="s">
        <v>84</v>
      </c>
      <c r="C33" s="31" t="s">
        <v>85</v>
      </c>
      <c r="D33" s="31" t="s">
        <v>91</v>
      </c>
      <c r="E33" s="31" t="s">
        <v>92</v>
      </c>
      <c r="F33" s="31" t="s">
        <v>93</v>
      </c>
      <c r="G33" s="31" t="s">
        <v>94</v>
      </c>
    </row>
    <row r="34" spans="2:7" x14ac:dyDescent="0.2">
      <c r="B34" s="32" t="s">
        <v>105</v>
      </c>
      <c r="C34" s="32" t="s">
        <v>26</v>
      </c>
      <c r="D34" s="32">
        <v>115000</v>
      </c>
      <c r="E34" s="32" t="s">
        <v>165</v>
      </c>
      <c r="F34" s="32" t="s">
        <v>106</v>
      </c>
      <c r="G34" s="32">
        <v>185000</v>
      </c>
    </row>
    <row r="35" spans="2:7" x14ac:dyDescent="0.2">
      <c r="B35" s="32" t="s">
        <v>107</v>
      </c>
      <c r="C35" s="32" t="s">
        <v>76</v>
      </c>
      <c r="D35" s="32">
        <v>10000</v>
      </c>
      <c r="E35" s="32" t="s">
        <v>166</v>
      </c>
      <c r="F35" s="32" t="s">
        <v>108</v>
      </c>
      <c r="G35" s="32">
        <v>0</v>
      </c>
    </row>
    <row r="36" spans="2:7" x14ac:dyDescent="0.2">
      <c r="B36" s="32" t="s">
        <v>109</v>
      </c>
      <c r="C36" s="32" t="s">
        <v>146</v>
      </c>
      <c r="D36" s="32">
        <v>50000</v>
      </c>
      <c r="E36" s="32" t="s">
        <v>167</v>
      </c>
      <c r="F36" s="32" t="s">
        <v>108</v>
      </c>
      <c r="G36" s="32">
        <v>0</v>
      </c>
    </row>
    <row r="37" spans="2:7" x14ac:dyDescent="0.2">
      <c r="B37" s="32" t="s">
        <v>110</v>
      </c>
      <c r="C37" s="32" t="s">
        <v>147</v>
      </c>
      <c r="D37" s="32">
        <v>150000</v>
      </c>
      <c r="E37" s="32" t="s">
        <v>168</v>
      </c>
      <c r="F37" s="32" t="s">
        <v>108</v>
      </c>
      <c r="G37" s="32">
        <v>0</v>
      </c>
    </row>
    <row r="38" spans="2:7" x14ac:dyDescent="0.2">
      <c r="B38" s="32" t="s">
        <v>111</v>
      </c>
      <c r="C38" s="32" t="s">
        <v>36</v>
      </c>
      <c r="D38" s="32">
        <v>2500</v>
      </c>
      <c r="E38" s="32" t="s">
        <v>169</v>
      </c>
      <c r="F38" s="32" t="s">
        <v>106</v>
      </c>
      <c r="G38" s="32">
        <v>1497500</v>
      </c>
    </row>
    <row r="39" spans="2:7" x14ac:dyDescent="0.2">
      <c r="B39" s="32" t="s">
        <v>112</v>
      </c>
      <c r="C39" s="32" t="s">
        <v>150</v>
      </c>
      <c r="D39" s="32">
        <v>16250</v>
      </c>
      <c r="E39" s="32" t="s">
        <v>170</v>
      </c>
      <c r="F39" s="32" t="s">
        <v>106</v>
      </c>
      <c r="G39" s="32">
        <v>5750</v>
      </c>
    </row>
    <row r="40" spans="2:7" x14ac:dyDescent="0.2">
      <c r="B40" s="32" t="s">
        <v>113</v>
      </c>
      <c r="C40" s="32" t="s">
        <v>153</v>
      </c>
      <c r="D40" s="32">
        <v>0</v>
      </c>
      <c r="E40" s="32" t="s">
        <v>171</v>
      </c>
      <c r="F40" s="32" t="s">
        <v>106</v>
      </c>
      <c r="G40" s="32">
        <v>750</v>
      </c>
    </row>
    <row r="41" spans="2:7" x14ac:dyDescent="0.2">
      <c r="B41" s="32" t="s">
        <v>114</v>
      </c>
      <c r="C41" s="32" t="s">
        <v>152</v>
      </c>
      <c r="D41" s="32">
        <v>7500</v>
      </c>
      <c r="E41" s="32" t="s">
        <v>172</v>
      </c>
      <c r="F41" s="32" t="s">
        <v>106</v>
      </c>
      <c r="G41" s="32">
        <v>2500</v>
      </c>
    </row>
    <row r="42" spans="2:7" ht="17" thickBot="1" x14ac:dyDescent="0.25">
      <c r="B42" s="30" t="s">
        <v>115</v>
      </c>
      <c r="C42" s="30" t="s">
        <v>159</v>
      </c>
      <c r="D42" s="30">
        <v>15000</v>
      </c>
      <c r="E42" s="30" t="s">
        <v>173</v>
      </c>
      <c r="F42" s="30" t="s">
        <v>108</v>
      </c>
      <c r="G42" s="30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Question prompt</vt:lpstr>
      <vt:lpstr>LP Formulation </vt:lpstr>
      <vt:lpstr> LP - Solver</vt:lpstr>
      <vt:lpstr>Sensitivity Report 1</vt:lpstr>
      <vt:lpstr>Answer Report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Ahmed Ehtisham</dc:creator>
  <cp:lastModifiedBy>Muhammad Ahmed Ehtisham</cp:lastModifiedBy>
  <dcterms:created xsi:type="dcterms:W3CDTF">2022-11-21T12:44:57Z</dcterms:created>
  <dcterms:modified xsi:type="dcterms:W3CDTF">2022-12-09T12:55:45Z</dcterms:modified>
</cp:coreProperties>
</file>