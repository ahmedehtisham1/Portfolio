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HIF\Desktop\"/>
    </mc:Choice>
  </mc:AlternateContent>
  <xr:revisionPtr revIDLastSave="0" documentId="13_ncr:1_{7480F614-83E0-46A4-8047-1CEC4253E775}" xr6:coauthVersionLast="47" xr6:coauthVersionMax="47" xr10:uidLastSave="{00000000-0000-0000-0000-000000000000}"/>
  <bookViews>
    <workbookView xWindow="-108" yWindow="-108" windowWidth="23256" windowHeight="12576" activeTab="1" xr2:uid="{54D9111B-66F0-A84A-A613-46A3E411F6FA}"/>
  </bookViews>
  <sheets>
    <sheet name="MA3" sheetId="3" r:id="rId1"/>
    <sheet name="MA5" sheetId="4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" i="4" l="1"/>
  <c r="L28" i="4"/>
  <c r="L27" i="4"/>
  <c r="E29" i="4"/>
  <c r="E28" i="4"/>
  <c r="E27" i="4"/>
  <c r="J8" i="4"/>
  <c r="J9" i="4"/>
  <c r="J10" i="4"/>
  <c r="J11" i="4"/>
  <c r="K11" i="4" s="1"/>
  <c r="M11" i="4" s="1"/>
  <c r="J12" i="4"/>
  <c r="J13" i="4"/>
  <c r="J14" i="4"/>
  <c r="J15" i="4"/>
  <c r="K15" i="4" s="1"/>
  <c r="J16" i="4"/>
  <c r="J17" i="4"/>
  <c r="J18" i="4"/>
  <c r="J19" i="4"/>
  <c r="K19" i="4" s="1"/>
  <c r="M19" i="4" s="1"/>
  <c r="J20" i="4"/>
  <c r="J21" i="4"/>
  <c r="J22" i="4"/>
  <c r="J23" i="4"/>
  <c r="K23" i="4" s="1"/>
  <c r="J24" i="4"/>
  <c r="J25" i="4"/>
  <c r="J7" i="4"/>
  <c r="K7" i="4" s="1"/>
  <c r="M7" i="4" s="1"/>
  <c r="N31" i="3"/>
  <c r="E31" i="3"/>
  <c r="N30" i="3"/>
  <c r="N29" i="3"/>
  <c r="E17" i="4"/>
  <c r="K9" i="4"/>
  <c r="M9" i="4" s="1"/>
  <c r="K10" i="4"/>
  <c r="M10" i="4" s="1"/>
  <c r="K13" i="4"/>
  <c r="M13" i="4" s="1"/>
  <c r="K14" i="4"/>
  <c r="K18" i="4"/>
  <c r="M18" i="4" s="1"/>
  <c r="K21" i="4"/>
  <c r="M21" i="4" s="1"/>
  <c r="K22" i="4"/>
  <c r="M22" i="4" s="1"/>
  <c r="K25" i="4"/>
  <c r="M25" i="4" s="1"/>
  <c r="E25" i="4"/>
  <c r="F25" i="4" s="1"/>
  <c r="K24" i="4"/>
  <c r="M24" i="4" s="1"/>
  <c r="E24" i="4"/>
  <c r="F24" i="4" s="1"/>
  <c r="G23" i="4"/>
  <c r="F23" i="4"/>
  <c r="E23" i="4"/>
  <c r="E22" i="4"/>
  <c r="G22" i="4" s="1"/>
  <c r="E21" i="4"/>
  <c r="G21" i="4" s="1"/>
  <c r="K20" i="4"/>
  <c r="M20" i="4" s="1"/>
  <c r="E20" i="4"/>
  <c r="G20" i="4" s="1"/>
  <c r="E19" i="4"/>
  <c r="G19" i="4" s="1"/>
  <c r="E18" i="4"/>
  <c r="G18" i="4" s="1"/>
  <c r="K17" i="4"/>
  <c r="M17" i="4" s="1"/>
  <c r="K16" i="4"/>
  <c r="E16" i="4"/>
  <c r="G16" i="4" s="1"/>
  <c r="E15" i="4"/>
  <c r="G15" i="4" s="1"/>
  <c r="E14" i="4"/>
  <c r="G14" i="4" s="1"/>
  <c r="E13" i="4"/>
  <c r="G13" i="4" s="1"/>
  <c r="K12" i="4"/>
  <c r="M12" i="4" s="1"/>
  <c r="E12" i="4"/>
  <c r="G12" i="4" s="1"/>
  <c r="E11" i="4"/>
  <c r="G11" i="4" s="1"/>
  <c r="E10" i="4"/>
  <c r="G10" i="4" s="1"/>
  <c r="E9" i="4"/>
  <c r="G9" i="4" s="1"/>
  <c r="K8" i="4"/>
  <c r="M8" i="4" s="1"/>
  <c r="E8" i="4"/>
  <c r="G8" i="4" s="1"/>
  <c r="E7" i="4"/>
  <c r="G7" i="4" s="1"/>
  <c r="E6" i="4"/>
  <c r="G6" i="4" s="1"/>
  <c r="E5" i="4"/>
  <c r="G5" i="4" s="1"/>
  <c r="E4" i="4"/>
  <c r="G4" i="4" s="1"/>
  <c r="F3" i="4"/>
  <c r="E3" i="4"/>
  <c r="G3" i="4" s="1"/>
  <c r="E2" i="4"/>
  <c r="J27" i="3"/>
  <c r="M27" i="3" s="1"/>
  <c r="O27" i="3" s="1"/>
  <c r="J24" i="3"/>
  <c r="M24" i="3" s="1"/>
  <c r="O24" i="3" s="1"/>
  <c r="J23" i="3"/>
  <c r="M23" i="3" s="1"/>
  <c r="O23" i="3" s="1"/>
  <c r="E5" i="3"/>
  <c r="F5" i="3" s="1"/>
  <c r="E6" i="3"/>
  <c r="G6" i="3" s="1"/>
  <c r="E7" i="3"/>
  <c r="G7" i="3" s="1"/>
  <c r="E8" i="3"/>
  <c r="F8" i="3" s="1"/>
  <c r="E9" i="3"/>
  <c r="F9" i="3" s="1"/>
  <c r="E10" i="3"/>
  <c r="F10" i="3" s="1"/>
  <c r="E11" i="3"/>
  <c r="G11" i="3" s="1"/>
  <c r="E12" i="3"/>
  <c r="F12" i="3" s="1"/>
  <c r="E13" i="3"/>
  <c r="F13" i="3" s="1"/>
  <c r="E14" i="3"/>
  <c r="F14" i="3" s="1"/>
  <c r="E15" i="3"/>
  <c r="G15" i="3" s="1"/>
  <c r="E16" i="3"/>
  <c r="F16" i="3" s="1"/>
  <c r="E17" i="3"/>
  <c r="F17" i="3" s="1"/>
  <c r="E18" i="3"/>
  <c r="F18" i="3" s="1"/>
  <c r="E19" i="3"/>
  <c r="G19" i="3" s="1"/>
  <c r="E20" i="3"/>
  <c r="G20" i="3" s="1"/>
  <c r="E21" i="3"/>
  <c r="F21" i="3" s="1"/>
  <c r="E22" i="3"/>
  <c r="G22" i="3" s="1"/>
  <c r="E23" i="3"/>
  <c r="G23" i="3" s="1"/>
  <c r="E24" i="3"/>
  <c r="G24" i="3" s="1"/>
  <c r="E25" i="3"/>
  <c r="F25" i="3" s="1"/>
  <c r="E26" i="3"/>
  <c r="G26" i="3" s="1"/>
  <c r="E27" i="3"/>
  <c r="G27" i="3" s="1"/>
  <c r="E4" i="3"/>
  <c r="G4" i="3" s="1"/>
  <c r="K26" i="3"/>
  <c r="K27" i="3"/>
  <c r="K23" i="3"/>
  <c r="J8" i="3"/>
  <c r="M8" i="3" s="1"/>
  <c r="N8" i="3" s="1"/>
  <c r="J9" i="3"/>
  <c r="M9" i="3" s="1"/>
  <c r="J10" i="3"/>
  <c r="M10" i="3" s="1"/>
  <c r="J11" i="3"/>
  <c r="M11" i="3" s="1"/>
  <c r="O11" i="3" s="1"/>
  <c r="J12" i="3"/>
  <c r="M12" i="3" s="1"/>
  <c r="N12" i="3" s="1"/>
  <c r="J13" i="3"/>
  <c r="M13" i="3" s="1"/>
  <c r="J14" i="3"/>
  <c r="M14" i="3" s="1"/>
  <c r="J15" i="3"/>
  <c r="M15" i="3" s="1"/>
  <c r="O15" i="3" s="1"/>
  <c r="J16" i="3"/>
  <c r="M16" i="3" s="1"/>
  <c r="N16" i="3" s="1"/>
  <c r="J17" i="3"/>
  <c r="M17" i="3" s="1"/>
  <c r="J18" i="3"/>
  <c r="M18" i="3" s="1"/>
  <c r="J19" i="3"/>
  <c r="M19" i="3" s="1"/>
  <c r="O19" i="3" s="1"/>
  <c r="J20" i="3"/>
  <c r="M20" i="3" s="1"/>
  <c r="N20" i="3" s="1"/>
  <c r="J21" i="3"/>
  <c r="M21" i="3" s="1"/>
  <c r="J22" i="3"/>
  <c r="M22" i="3" s="1"/>
  <c r="J26" i="3"/>
  <c r="M26" i="3" s="1"/>
  <c r="N26" i="3" s="1"/>
  <c r="J7" i="3"/>
  <c r="M7" i="3" s="1"/>
  <c r="N7" i="3" s="1"/>
  <c r="K19" i="3"/>
  <c r="K20" i="3"/>
  <c r="K21" i="3"/>
  <c r="K22" i="3"/>
  <c r="K24" i="3"/>
  <c r="K25" i="3"/>
  <c r="L5" i="3"/>
  <c r="L6" i="3"/>
  <c r="L7" i="3"/>
  <c r="K17" i="3"/>
  <c r="K18" i="3"/>
  <c r="K16" i="3"/>
  <c r="L16" i="3"/>
  <c r="L17" i="3"/>
  <c r="L18" i="3"/>
  <c r="L8" i="3"/>
  <c r="L9" i="3"/>
  <c r="L10" i="3"/>
  <c r="L11" i="3"/>
  <c r="L12" i="3"/>
  <c r="L13" i="3"/>
  <c r="L14" i="3"/>
  <c r="L15" i="3"/>
  <c r="F7" i="3"/>
  <c r="F6" i="3"/>
  <c r="F5" i="4" l="1"/>
  <c r="F8" i="4"/>
  <c r="F11" i="3"/>
  <c r="F15" i="3"/>
  <c r="E29" i="3"/>
  <c r="G24" i="4"/>
  <c r="G25" i="4"/>
  <c r="F13" i="4"/>
  <c r="F19" i="4"/>
  <c r="F20" i="4"/>
  <c r="F21" i="4"/>
  <c r="F22" i="4"/>
  <c r="F10" i="4"/>
  <c r="F4" i="4"/>
  <c r="F7" i="4"/>
  <c r="F12" i="4"/>
  <c r="F16" i="4"/>
  <c r="F18" i="4"/>
  <c r="F6" i="4"/>
  <c r="F9" i="4"/>
  <c r="F11" i="4"/>
  <c r="F14" i="4"/>
  <c r="L7" i="4"/>
  <c r="M23" i="4"/>
  <c r="L23" i="4"/>
  <c r="L18" i="4"/>
  <c r="L20" i="4"/>
  <c r="L22" i="4"/>
  <c r="L24" i="4"/>
  <c r="L17" i="4"/>
  <c r="L19" i="4"/>
  <c r="L21" i="4"/>
  <c r="L25" i="4"/>
  <c r="M14" i="4"/>
  <c r="L14" i="4"/>
  <c r="M15" i="4"/>
  <c r="L15" i="4"/>
  <c r="L16" i="4"/>
  <c r="M16" i="4"/>
  <c r="F2" i="4"/>
  <c r="L8" i="4"/>
  <c r="L9" i="4"/>
  <c r="L10" i="4"/>
  <c r="L11" i="4"/>
  <c r="L12" i="4"/>
  <c r="L13" i="4"/>
  <c r="F15" i="4"/>
  <c r="G2" i="4"/>
  <c r="G12" i="3"/>
  <c r="G25" i="3"/>
  <c r="G16" i="3"/>
  <c r="G8" i="3"/>
  <c r="G18" i="3"/>
  <c r="G14" i="3"/>
  <c r="G10" i="3"/>
  <c r="G21" i="3"/>
  <c r="G17" i="3"/>
  <c r="G13" i="3"/>
  <c r="G9" i="3"/>
  <c r="G5" i="3"/>
  <c r="N24" i="3"/>
  <c r="O26" i="3"/>
  <c r="N18" i="3"/>
  <c r="O18" i="3"/>
  <c r="N14" i="3"/>
  <c r="O14" i="3"/>
  <c r="N10" i="3"/>
  <c r="O10" i="3"/>
  <c r="N22" i="3"/>
  <c r="O22" i="3"/>
  <c r="N21" i="3"/>
  <c r="O21" i="3"/>
  <c r="O17" i="3"/>
  <c r="N17" i="3"/>
  <c r="O13" i="3"/>
  <c r="N13" i="3"/>
  <c r="O9" i="3"/>
  <c r="N9" i="3"/>
  <c r="N27" i="3"/>
  <c r="N23" i="3"/>
  <c r="N19" i="3"/>
  <c r="N15" i="3"/>
  <c r="N11" i="3"/>
  <c r="O7" i="3"/>
  <c r="O20" i="3"/>
  <c r="O16" i="3"/>
  <c r="O12" i="3"/>
  <c r="O8" i="3"/>
  <c r="F27" i="3"/>
  <c r="F26" i="3"/>
  <c r="F24" i="3"/>
  <c r="F23" i="3"/>
  <c r="J25" i="3"/>
  <c r="M25" i="3" s="1"/>
  <c r="F22" i="3"/>
  <c r="F20" i="3"/>
  <c r="E30" i="3" s="1"/>
  <c r="F19" i="3"/>
  <c r="F4" i="3"/>
  <c r="O25" i="3" l="1"/>
  <c r="N25" i="3"/>
  <c r="G17" i="4" l="1"/>
  <c r="F17" i="4"/>
</calcChain>
</file>

<file path=xl/sharedStrings.xml><?xml version="1.0" encoding="utf-8"?>
<sst xmlns="http://schemas.openxmlformats.org/spreadsheetml/2006/main" count="35" uniqueCount="15">
  <si>
    <t>Actual Sales</t>
  </si>
  <si>
    <t>Forecasted Sales</t>
  </si>
  <si>
    <t>Error</t>
  </si>
  <si>
    <t>Error^2</t>
  </si>
  <si>
    <t>MAD</t>
  </si>
  <si>
    <t>MSE</t>
  </si>
  <si>
    <t>MAP</t>
  </si>
  <si>
    <t>Error/actual</t>
  </si>
  <si>
    <t>MA3</t>
  </si>
  <si>
    <t>MAPE</t>
  </si>
  <si>
    <t>Error/Actual</t>
  </si>
  <si>
    <t>Month</t>
  </si>
  <si>
    <t>Actual Demand</t>
  </si>
  <si>
    <t>Forecasted Demand</t>
  </si>
  <si>
    <t>MA5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</si>
</sst>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0" xfId="0" applyNumberFormat="1"/>
    <xf numFmtId="0" fontId="0" fillId="0" borderId="0" xfId="0" applyFill="1" applyBorder="1"/>
    <xf numFmtId="1" fontId="0" fillId="2" borderId="0" xfId="0" applyNumberFormat="1" applyFill="1"/>
    <xf numFmtId="0" fontId="0" fillId="0" borderId="0" xfId="0" applyAlignment="1"/>
    <xf numFmtId="10" fontId="0" fillId="0" borderId="0" xfId="0" applyNumberFormat="1" applyFill="1" applyBorder="1"/>
    <xf numFmtId="17" fontId="0" fillId="0" borderId="0" xfId="0" applyNumberFormat="1" applyFill="1" applyBorder="1"/>
    <xf numFmtId="1" fontId="0" fillId="0" borderId="0" xfId="0" applyNumberFormat="1" applyFill="1" applyBorder="1"/>
    <xf numFmtId="0" fontId="0" fillId="0" borderId="0" xfId="0" applyNumberFormat="1" applyFill="1" applyBorder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Original</a:t>
            </a:r>
          </a:p>
        </c:rich>
      </c:tx>
      <c:layout>
        <c:manualLayout>
          <c:xMode val="edge"/>
          <c:yMode val="edge"/>
          <c:x val="0.4178263342082240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768178625559133E-2"/>
          <c:y val="0.19949074074074077"/>
          <c:w val="0.89319492766892505"/>
          <c:h val="0.53641914552347625"/>
        </c:manualLayout>
      </c:layout>
      <c:lineChart>
        <c:grouping val="standard"/>
        <c:varyColors val="0"/>
        <c:ser>
          <c:idx val="0"/>
          <c:order val="0"/>
          <c:tx>
            <c:v>Actual Demand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'MA3'!$B$7:$B$27</c:f>
              <c:numCache>
                <c:formatCode>mmm\-yy</c:formatCode>
                <c:ptCount val="21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</c:numCache>
            </c:numRef>
          </c:cat>
          <c:val>
            <c:numRef>
              <c:f>'MA3'!$C$7:$C$27</c:f>
              <c:numCache>
                <c:formatCode>General</c:formatCode>
                <c:ptCount val="21"/>
                <c:pt idx="0">
                  <c:v>4963</c:v>
                </c:pt>
                <c:pt idx="1">
                  <c:v>5495</c:v>
                </c:pt>
                <c:pt idx="2">
                  <c:v>4630</c:v>
                </c:pt>
                <c:pt idx="3">
                  <c:v>4870</c:v>
                </c:pt>
                <c:pt idx="4">
                  <c:v>4573</c:v>
                </c:pt>
                <c:pt idx="5">
                  <c:v>4055</c:v>
                </c:pt>
                <c:pt idx="6">
                  <c:v>5221</c:v>
                </c:pt>
                <c:pt idx="7">
                  <c:v>5144</c:v>
                </c:pt>
                <c:pt idx="8">
                  <c:v>6316</c:v>
                </c:pt>
                <c:pt idx="9">
                  <c:v>5809</c:v>
                </c:pt>
                <c:pt idx="10">
                  <c:v>5617</c:v>
                </c:pt>
                <c:pt idx="11">
                  <c:v>5380</c:v>
                </c:pt>
                <c:pt idx="12">
                  <c:v>5469</c:v>
                </c:pt>
                <c:pt idx="13">
                  <c:v>5285</c:v>
                </c:pt>
                <c:pt idx="14">
                  <c:v>5371</c:v>
                </c:pt>
                <c:pt idx="15">
                  <c:v>5083</c:v>
                </c:pt>
                <c:pt idx="16" formatCode="0">
                  <c:v>5315</c:v>
                </c:pt>
                <c:pt idx="17" formatCode="0">
                  <c:v>4776</c:v>
                </c:pt>
                <c:pt idx="18" formatCode="0">
                  <c:v>5763</c:v>
                </c:pt>
                <c:pt idx="19" formatCode="0">
                  <c:v>5389</c:v>
                </c:pt>
                <c:pt idx="20" formatCode="0">
                  <c:v>6233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F-404B-A325-EBC497865382}"/>
            </c:ext>
          </c:extLst>
        </c:ser>
        <c:ser>
          <c:idx val="1"/>
          <c:order val="1"/>
          <c:tx>
            <c:v>Forecasted Demand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'MA3'!$B$7:$B$27</c:f>
              <c:numCache>
                <c:formatCode>mmm\-yy</c:formatCode>
                <c:ptCount val="21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</c:numCache>
            </c:numRef>
          </c:cat>
          <c:val>
            <c:numRef>
              <c:f>'MA3'!$D$7:$D$27</c:f>
              <c:numCache>
                <c:formatCode>General</c:formatCode>
                <c:ptCount val="21"/>
                <c:pt idx="0">
                  <c:v>5275</c:v>
                </c:pt>
                <c:pt idx="1">
                  <c:v>6012</c:v>
                </c:pt>
                <c:pt idx="2">
                  <c:v>5127</c:v>
                </c:pt>
                <c:pt idx="3">
                  <c:v>4921</c:v>
                </c:pt>
                <c:pt idx="4">
                  <c:v>3253</c:v>
                </c:pt>
                <c:pt idx="5">
                  <c:v>4821</c:v>
                </c:pt>
                <c:pt idx="6">
                  <c:v>6024</c:v>
                </c:pt>
                <c:pt idx="7">
                  <c:v>5850</c:v>
                </c:pt>
                <c:pt idx="8" formatCode="0">
                  <c:v>5789.29</c:v>
                </c:pt>
                <c:pt idx="9">
                  <c:v>6131</c:v>
                </c:pt>
                <c:pt idx="10">
                  <c:v>5900</c:v>
                </c:pt>
                <c:pt idx="11">
                  <c:v>4175</c:v>
                </c:pt>
                <c:pt idx="12">
                  <c:v>5100</c:v>
                </c:pt>
                <c:pt idx="13">
                  <c:v>5593</c:v>
                </c:pt>
                <c:pt idx="14">
                  <c:v>4956</c:v>
                </c:pt>
                <c:pt idx="15">
                  <c:v>4991</c:v>
                </c:pt>
                <c:pt idx="16">
                  <c:v>4800</c:v>
                </c:pt>
                <c:pt idx="17">
                  <c:v>5080</c:v>
                </c:pt>
                <c:pt idx="18">
                  <c:v>5437</c:v>
                </c:pt>
                <c:pt idx="19">
                  <c:v>5625</c:v>
                </c:pt>
                <c:pt idx="20">
                  <c:v>6600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EF-404B-A325-EBC497865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849472"/>
        <c:axId val="2024849888"/>
      </c:lineChart>
      <c:dateAx>
        <c:axId val="20248494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49888"/>
        <c:crosses val="autoZero"/>
        <c:auto val="1"/>
        <c:lblOffset val="100"/>
        <c:baseTimeUnit val="months"/>
      </c:dateAx>
      <c:valAx>
        <c:axId val="2024849888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4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  <a:r>
              <a:rPr lang="en-US" baseline="0"/>
              <a:t> Moving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469816272965873E-2"/>
          <c:y val="0.22450240594925636"/>
          <c:w val="0.87753018372703417"/>
          <c:h val="0.53641914552347625"/>
        </c:manualLayout>
      </c:layout>
      <c:lineChart>
        <c:grouping val="standard"/>
        <c:varyColors val="0"/>
        <c:ser>
          <c:idx val="0"/>
          <c:order val="0"/>
          <c:tx>
            <c:v>Actual Demand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'MA3'!$H$7:$H$27</c:f>
              <c:numCache>
                <c:formatCode>mmm\-yy</c:formatCode>
                <c:ptCount val="21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</c:numCache>
            </c:numRef>
          </c:cat>
          <c:val>
            <c:numRef>
              <c:f>'MA3'!$I$7:$I$27</c:f>
              <c:numCache>
                <c:formatCode>General</c:formatCode>
                <c:ptCount val="21"/>
                <c:pt idx="0">
                  <c:v>4963</c:v>
                </c:pt>
                <c:pt idx="1">
                  <c:v>5495</c:v>
                </c:pt>
                <c:pt idx="2">
                  <c:v>4630</c:v>
                </c:pt>
                <c:pt idx="3">
                  <c:v>4870</c:v>
                </c:pt>
                <c:pt idx="4">
                  <c:v>4573</c:v>
                </c:pt>
                <c:pt idx="5">
                  <c:v>4055</c:v>
                </c:pt>
                <c:pt idx="6">
                  <c:v>5221</c:v>
                </c:pt>
                <c:pt idx="7">
                  <c:v>5144</c:v>
                </c:pt>
                <c:pt idx="8">
                  <c:v>6316</c:v>
                </c:pt>
                <c:pt idx="9">
                  <c:v>5809</c:v>
                </c:pt>
                <c:pt idx="10">
                  <c:v>5617</c:v>
                </c:pt>
                <c:pt idx="11">
                  <c:v>5380</c:v>
                </c:pt>
                <c:pt idx="12">
                  <c:v>5469</c:v>
                </c:pt>
                <c:pt idx="13">
                  <c:v>5285</c:v>
                </c:pt>
                <c:pt idx="14">
                  <c:v>5371</c:v>
                </c:pt>
                <c:pt idx="15">
                  <c:v>4953</c:v>
                </c:pt>
                <c:pt idx="16" formatCode="0">
                  <c:v>5315</c:v>
                </c:pt>
                <c:pt idx="17" formatCode="0">
                  <c:v>4776</c:v>
                </c:pt>
                <c:pt idx="18" formatCode="0">
                  <c:v>5763</c:v>
                </c:pt>
                <c:pt idx="19" formatCode="0">
                  <c:v>5389</c:v>
                </c:pt>
                <c:pt idx="20" formatCode="0">
                  <c:v>6233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2-4150-8307-A41E3FA08A2D}"/>
            </c:ext>
          </c:extLst>
        </c:ser>
        <c:ser>
          <c:idx val="1"/>
          <c:order val="1"/>
          <c:tx>
            <c:v>Forecasted Demand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'MA3'!$H$7:$H$27</c:f>
              <c:numCache>
                <c:formatCode>mmm\-yy</c:formatCode>
                <c:ptCount val="21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</c:numCache>
            </c:numRef>
          </c:cat>
          <c:val>
            <c:numRef>
              <c:f>'MA3'!$J$7:$J$27</c:f>
              <c:numCache>
                <c:formatCode>General</c:formatCode>
                <c:ptCount val="21"/>
                <c:pt idx="0">
                  <c:v>4953.666666666667</c:v>
                </c:pt>
                <c:pt idx="1">
                  <c:v>5119.333333333333</c:v>
                </c:pt>
                <c:pt idx="2">
                  <c:v>5387</c:v>
                </c:pt>
                <c:pt idx="3">
                  <c:v>5029.333333333333</c:v>
                </c:pt>
                <c:pt idx="4">
                  <c:v>4998.333333333333</c:v>
                </c:pt>
                <c:pt idx="5">
                  <c:v>4691</c:v>
                </c:pt>
                <c:pt idx="6">
                  <c:v>4499.333333333333</c:v>
                </c:pt>
                <c:pt idx="7">
                  <c:v>4616.333333333333</c:v>
                </c:pt>
                <c:pt idx="8">
                  <c:v>4806.666666666667</c:v>
                </c:pt>
                <c:pt idx="9">
                  <c:v>5560.333333333333</c:v>
                </c:pt>
                <c:pt idx="10">
                  <c:v>5756.333333333333</c:v>
                </c:pt>
                <c:pt idx="11">
                  <c:v>5914</c:v>
                </c:pt>
                <c:pt idx="12">
                  <c:v>5602</c:v>
                </c:pt>
                <c:pt idx="13">
                  <c:v>5488.666666666667</c:v>
                </c:pt>
                <c:pt idx="14">
                  <c:v>5378</c:v>
                </c:pt>
                <c:pt idx="15">
                  <c:v>5375</c:v>
                </c:pt>
                <c:pt idx="16">
                  <c:v>5246.333333333333</c:v>
                </c:pt>
                <c:pt idx="17">
                  <c:v>5256.333333333333</c:v>
                </c:pt>
                <c:pt idx="18">
                  <c:v>5058</c:v>
                </c:pt>
                <c:pt idx="19">
                  <c:v>5284.666666666667</c:v>
                </c:pt>
                <c:pt idx="20">
                  <c:v>5309.333333333333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D2-4150-8307-A41E3FA08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909488"/>
        <c:axId val="1914910320"/>
      </c:lineChart>
      <c:dateAx>
        <c:axId val="1914909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10320"/>
        <c:crosses val="autoZero"/>
        <c:auto val="1"/>
        <c:lblOffset val="100"/>
        <c:baseTimeUnit val="months"/>
      </c:dateAx>
      <c:valAx>
        <c:axId val="1914910320"/>
        <c:scaling>
          <c:orientation val="minMax"/>
          <c:max val="7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0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Moving</a:t>
            </a:r>
            <a:r>
              <a:rPr lang="en-US" baseline="0"/>
              <a:t>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'MA5'!$H$7:$H$25</c:f>
              <c:numCache>
                <c:formatCode>mmm\-yy</c:formatCode>
                <c:ptCount val="19"/>
                <c:pt idx="0">
                  <c:v>43617</c:v>
                </c:pt>
                <c:pt idx="1">
                  <c:v>43647</c:v>
                </c:pt>
                <c:pt idx="2">
                  <c:v>43678</c:v>
                </c:pt>
                <c:pt idx="3">
                  <c:v>43709</c:v>
                </c:pt>
                <c:pt idx="4">
                  <c:v>43739</c:v>
                </c:pt>
                <c:pt idx="5">
                  <c:v>43770</c:v>
                </c:pt>
                <c:pt idx="6">
                  <c:v>43800</c:v>
                </c:pt>
                <c:pt idx="7">
                  <c:v>43831</c:v>
                </c:pt>
                <c:pt idx="8">
                  <c:v>43862</c:v>
                </c:pt>
                <c:pt idx="9">
                  <c:v>43891</c:v>
                </c:pt>
                <c:pt idx="10">
                  <c:v>43922</c:v>
                </c:pt>
                <c:pt idx="11">
                  <c:v>43952</c:v>
                </c:pt>
                <c:pt idx="12">
                  <c:v>43983</c:v>
                </c:pt>
                <c:pt idx="13">
                  <c:v>44013</c:v>
                </c:pt>
                <c:pt idx="14">
                  <c:v>44044</c:v>
                </c:pt>
                <c:pt idx="15">
                  <c:v>44075</c:v>
                </c:pt>
                <c:pt idx="16">
                  <c:v>44105</c:v>
                </c:pt>
                <c:pt idx="17">
                  <c:v>44136</c:v>
                </c:pt>
                <c:pt idx="18">
                  <c:v>44166</c:v>
                </c:pt>
              </c:numCache>
            </c:numRef>
          </c:cat>
          <c:val>
            <c:numRef>
              <c:f>'MA5'!$I$7:$I$25</c:f>
              <c:numCache>
                <c:formatCode>General</c:formatCode>
                <c:ptCount val="19"/>
                <c:pt idx="0">
                  <c:v>4630</c:v>
                </c:pt>
                <c:pt idx="1">
                  <c:v>4870</c:v>
                </c:pt>
                <c:pt idx="2">
                  <c:v>4573</c:v>
                </c:pt>
                <c:pt idx="3">
                  <c:v>4055</c:v>
                </c:pt>
                <c:pt idx="4">
                  <c:v>5221</c:v>
                </c:pt>
                <c:pt idx="5">
                  <c:v>5144</c:v>
                </c:pt>
                <c:pt idx="6">
                  <c:v>6316</c:v>
                </c:pt>
                <c:pt idx="7">
                  <c:v>5809</c:v>
                </c:pt>
                <c:pt idx="8">
                  <c:v>5617</c:v>
                </c:pt>
                <c:pt idx="9">
                  <c:v>5380</c:v>
                </c:pt>
                <c:pt idx="10">
                  <c:v>5469</c:v>
                </c:pt>
                <c:pt idx="11">
                  <c:v>5285</c:v>
                </c:pt>
                <c:pt idx="12">
                  <c:v>5371</c:v>
                </c:pt>
                <c:pt idx="13">
                  <c:v>4953</c:v>
                </c:pt>
                <c:pt idx="14" formatCode="0">
                  <c:v>5315</c:v>
                </c:pt>
                <c:pt idx="15" formatCode="0">
                  <c:v>4776</c:v>
                </c:pt>
                <c:pt idx="16" formatCode="0">
                  <c:v>5763</c:v>
                </c:pt>
                <c:pt idx="17" formatCode="0">
                  <c:v>5389</c:v>
                </c:pt>
                <c:pt idx="18" formatCode="0">
                  <c:v>6233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6-4D99-84F9-234CB3E36F9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'MA5'!$H$7:$H$25</c:f>
              <c:numCache>
                <c:formatCode>mmm\-yy</c:formatCode>
                <c:ptCount val="19"/>
                <c:pt idx="0">
                  <c:v>43617</c:v>
                </c:pt>
                <c:pt idx="1">
                  <c:v>43647</c:v>
                </c:pt>
                <c:pt idx="2">
                  <c:v>43678</c:v>
                </c:pt>
                <c:pt idx="3">
                  <c:v>43709</c:v>
                </c:pt>
                <c:pt idx="4">
                  <c:v>43739</c:v>
                </c:pt>
                <c:pt idx="5">
                  <c:v>43770</c:v>
                </c:pt>
                <c:pt idx="6">
                  <c:v>43800</c:v>
                </c:pt>
                <c:pt idx="7">
                  <c:v>43831</c:v>
                </c:pt>
                <c:pt idx="8">
                  <c:v>43862</c:v>
                </c:pt>
                <c:pt idx="9">
                  <c:v>43891</c:v>
                </c:pt>
                <c:pt idx="10">
                  <c:v>43922</c:v>
                </c:pt>
                <c:pt idx="11">
                  <c:v>43952</c:v>
                </c:pt>
                <c:pt idx="12">
                  <c:v>43983</c:v>
                </c:pt>
                <c:pt idx="13">
                  <c:v>44013</c:v>
                </c:pt>
                <c:pt idx="14">
                  <c:v>44044</c:v>
                </c:pt>
                <c:pt idx="15">
                  <c:v>44075</c:v>
                </c:pt>
                <c:pt idx="16">
                  <c:v>44105</c:v>
                </c:pt>
                <c:pt idx="17">
                  <c:v>44136</c:v>
                </c:pt>
                <c:pt idx="18">
                  <c:v>44166</c:v>
                </c:pt>
              </c:numCache>
            </c:numRef>
          </c:cat>
          <c:val>
            <c:numRef>
              <c:f>'MA5'!$J$7:$J$25</c:f>
              <c:numCache>
                <c:formatCode>General</c:formatCode>
                <c:ptCount val="19"/>
                <c:pt idx="0">
                  <c:v>5063.8</c:v>
                </c:pt>
                <c:pt idx="1">
                  <c:v>5096.6000000000004</c:v>
                </c:pt>
                <c:pt idx="2">
                  <c:v>5132.2</c:v>
                </c:pt>
                <c:pt idx="3">
                  <c:v>4906.2</c:v>
                </c:pt>
                <c:pt idx="4">
                  <c:v>4724.6000000000004</c:v>
                </c:pt>
                <c:pt idx="5">
                  <c:v>4669.8</c:v>
                </c:pt>
                <c:pt idx="6">
                  <c:v>4772.6000000000004</c:v>
                </c:pt>
                <c:pt idx="7">
                  <c:v>5061.8</c:v>
                </c:pt>
                <c:pt idx="8">
                  <c:v>5309</c:v>
                </c:pt>
                <c:pt idx="9">
                  <c:v>5621.4</c:v>
                </c:pt>
                <c:pt idx="10">
                  <c:v>5653.2</c:v>
                </c:pt>
                <c:pt idx="11">
                  <c:v>5718.2</c:v>
                </c:pt>
                <c:pt idx="12">
                  <c:v>5512</c:v>
                </c:pt>
                <c:pt idx="13">
                  <c:v>5424.4</c:v>
                </c:pt>
                <c:pt idx="14">
                  <c:v>5291.6</c:v>
                </c:pt>
                <c:pt idx="15">
                  <c:v>5278.6</c:v>
                </c:pt>
                <c:pt idx="16">
                  <c:v>5140</c:v>
                </c:pt>
                <c:pt idx="17">
                  <c:v>5235.6000000000004</c:v>
                </c:pt>
                <c:pt idx="18">
                  <c:v>5239.2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F6-4D99-84F9-234CB3E36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886879"/>
        <c:axId val="784878143"/>
      </c:lineChart>
      <c:dateAx>
        <c:axId val="7848868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878143"/>
        <c:crosses val="autoZero"/>
        <c:auto val="1"/>
        <c:lblOffset val="100"/>
        <c:baseTimeUnit val="months"/>
      </c:dateAx>
      <c:valAx>
        <c:axId val="784878143"/>
        <c:scaling>
          <c:orientation val="minMax"/>
          <c:max val="7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88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415290</xdr:colOff>
      <xdr:row>31</xdr:row>
      <xdr:rowOff>11430</xdr:rowOff>
    </xdr:from>
    <xdr:to>
      <xdr:col>7</xdr:col>
      <xdr:colOff>346710</xdr:colOff>
      <xdr:row>44</xdr:row>
      <xdr:rowOff>179070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6B6F73-E1B9-47A1-87D2-09AEDF36D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666750</xdr:colOff>
      <xdr:row>30</xdr:row>
      <xdr:rowOff>194310</xdr:rowOff>
    </xdr:from>
    <xdr:to>
      <xdr:col>16</xdr:col>
      <xdr:colOff>422910</xdr:colOff>
      <xdr:row>44</xdr:row>
      <xdr:rowOff>163830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CB543CC-653D-4811-8062-A5195B98C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651510</xdr:colOff>
      <xdr:row>29</xdr:row>
      <xdr:rowOff>110490</xdr:rowOff>
    </xdr:from>
    <xdr:to>
      <xdr:col>10</xdr:col>
      <xdr:colOff>636270</xdr:colOff>
      <xdr:row>43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209A7-8676-4026-B0E3-A4D1E73D3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C76C-FC1C-434F-AEAC-5814546352AE}">
  <dimension ref="B1:Q36"/>
  <sheetViews>
    <sheetView topLeftCell="A14" workbookViewId="0">
      <selection activeCell="N32" sqref="N32"/>
    </sheetView>
  </sheetViews>
  <sheetFormatPr defaultRowHeight="15.6" x14ac:dyDescent="0.3"/>
  <cols>
    <col min="3" max="3" width="10.8984375" bestFit="1" customWidth="1"/>
    <col min="4" max="4" width="14.796875" bestFit="1" customWidth="1"/>
    <col min="7" max="7" width="11" bestFit="1" customWidth="1"/>
    <col min="9" max="9" width="13.796875" bestFit="1" customWidth="1"/>
    <col min="11" max="12" width="0" hidden="1" customWidth="1"/>
    <col min="13" max="13" width="10.3984375" bestFit="1" customWidth="1"/>
  </cols>
  <sheetData>
    <row r="1" spans="2:17" x14ac:dyDescent="0.3">
      <c r="C1" s="4"/>
      <c r="D1" s="4"/>
      <c r="E1" s="4"/>
      <c r="N1" s="4"/>
      <c r="O1" s="4"/>
      <c r="P1" s="4"/>
    </row>
    <row r="3" spans="2:17" x14ac:dyDescent="0.3">
      <c r="B3" s="2"/>
      <c r="C3" s="2" t="s">
        <v>0</v>
      </c>
      <c r="D3" s="2" t="s">
        <v>1</v>
      </c>
      <c r="E3" s="2" t="s">
        <v>2</v>
      </c>
      <c r="F3" s="2" t="s">
        <v>3</v>
      </c>
      <c r="G3" s="2" t="s">
        <v>7</v>
      </c>
      <c r="H3" s="2" t="s">
        <v>11</v>
      </c>
      <c r="I3" s="2" t="s">
        <v>12</v>
      </c>
      <c r="J3" s="2" t="s">
        <v>8</v>
      </c>
      <c r="K3" s="2"/>
      <c r="L3" s="2"/>
      <c r="M3" s="2" t="s">
        <v>2</v>
      </c>
      <c r="N3" s="9" t="s">
        <v>3</v>
      </c>
      <c r="O3" s="9" t="s">
        <v>10</v>
      </c>
      <c r="P3" s="9"/>
      <c r="Q3" s="2"/>
    </row>
    <row r="4" spans="2:17" x14ac:dyDescent="0.3">
      <c r="B4" s="6">
        <v>43466</v>
      </c>
      <c r="C4" s="2">
        <v>4466</v>
      </c>
      <c r="D4" s="2">
        <v>4686</v>
      </c>
      <c r="E4" s="2">
        <f>ABS(C4-D4)</f>
        <v>220</v>
      </c>
      <c r="F4" s="2">
        <f t="shared" ref="F4:F27" si="0">POWER(E4,2)</f>
        <v>48400</v>
      </c>
      <c r="G4" s="5">
        <f>E4/C4</f>
        <v>4.9261083743842367E-2</v>
      </c>
      <c r="H4" s="6">
        <v>43466</v>
      </c>
      <c r="I4" s="2">
        <v>4466</v>
      </c>
      <c r="J4" s="2"/>
      <c r="K4" s="2"/>
      <c r="L4" s="2"/>
      <c r="M4" s="2"/>
      <c r="N4" s="6"/>
      <c r="O4" s="2"/>
      <c r="P4" s="2"/>
      <c r="Q4" s="2"/>
    </row>
    <row r="5" spans="2:17" x14ac:dyDescent="0.3">
      <c r="B5" s="6">
        <v>43497</v>
      </c>
      <c r="C5" s="2">
        <v>4692</v>
      </c>
      <c r="D5" s="2">
        <v>4677</v>
      </c>
      <c r="E5" s="2">
        <f t="shared" ref="E5:E27" si="1">ABS(C5-D5)</f>
        <v>15</v>
      </c>
      <c r="F5" s="2">
        <f t="shared" si="0"/>
        <v>225</v>
      </c>
      <c r="G5" s="5">
        <f t="shared" ref="G5:G27" si="2">E5/C5</f>
        <v>3.19693094629156E-3</v>
      </c>
      <c r="H5" s="6">
        <v>43497</v>
      </c>
      <c r="I5" s="2">
        <v>4692</v>
      </c>
      <c r="J5" s="2"/>
      <c r="K5" s="2"/>
      <c r="L5" s="5">
        <f t="shared" ref="L5:L18" si="3">(C5-C4)/C4</f>
        <v>5.0604567845947156E-2</v>
      </c>
      <c r="M5" s="2"/>
      <c r="N5" s="6"/>
      <c r="O5" s="2"/>
      <c r="P5" s="2"/>
      <c r="Q5" s="2"/>
    </row>
    <row r="6" spans="2:17" x14ac:dyDescent="0.3">
      <c r="B6" s="6">
        <v>43525</v>
      </c>
      <c r="C6" s="2">
        <v>5703</v>
      </c>
      <c r="D6" s="2">
        <v>5537</v>
      </c>
      <c r="E6" s="2">
        <f t="shared" si="1"/>
        <v>166</v>
      </c>
      <c r="F6" s="2">
        <f t="shared" si="0"/>
        <v>27556</v>
      </c>
      <c r="G6" s="5">
        <f t="shared" si="2"/>
        <v>2.9107487287392601E-2</v>
      </c>
      <c r="H6" s="6">
        <v>43525</v>
      </c>
      <c r="I6" s="2">
        <v>5703</v>
      </c>
      <c r="J6" s="2"/>
      <c r="K6" s="2"/>
      <c r="L6" s="5">
        <f t="shared" si="3"/>
        <v>0.21547314578005114</v>
      </c>
      <c r="M6" s="2"/>
      <c r="N6" s="6"/>
      <c r="O6" s="2"/>
      <c r="P6" s="2"/>
      <c r="Q6" s="2"/>
    </row>
    <row r="7" spans="2:17" x14ac:dyDescent="0.3">
      <c r="B7" s="6">
        <v>43556</v>
      </c>
      <c r="C7" s="2">
        <v>4963</v>
      </c>
      <c r="D7" s="2">
        <v>5275</v>
      </c>
      <c r="E7" s="2">
        <f t="shared" si="1"/>
        <v>312</v>
      </c>
      <c r="F7" s="2">
        <f t="shared" si="0"/>
        <v>97344</v>
      </c>
      <c r="G7" s="5">
        <f t="shared" si="2"/>
        <v>6.2865202498488815E-2</v>
      </c>
      <c r="H7" s="6">
        <v>43556</v>
      </c>
      <c r="I7" s="2">
        <v>4963</v>
      </c>
      <c r="J7" s="2">
        <f t="shared" ref="J7:J27" si="4">SUM(C4:C6)/3</f>
        <v>4953.666666666667</v>
      </c>
      <c r="K7" s="2"/>
      <c r="L7" s="5">
        <f t="shared" si="3"/>
        <v>-0.12975626863054532</v>
      </c>
      <c r="M7" s="7">
        <f t="shared" ref="M7:M27" si="5">ABS(C7-J7)</f>
        <v>9.3333333333330302</v>
      </c>
      <c r="N7" s="8">
        <f>POWER(M7,2)</f>
        <v>87.111111111105458</v>
      </c>
      <c r="O7" s="5">
        <f t="shared" ref="O7:O27" si="6">M7/C7</f>
        <v>1.8805829807239634E-3</v>
      </c>
      <c r="P7" s="2"/>
      <c r="Q7" s="2"/>
    </row>
    <row r="8" spans="2:17" x14ac:dyDescent="0.3">
      <c r="B8" s="6">
        <v>43586</v>
      </c>
      <c r="C8" s="2">
        <v>5495</v>
      </c>
      <c r="D8" s="2">
        <v>6012</v>
      </c>
      <c r="E8" s="2">
        <f t="shared" si="1"/>
        <v>517</v>
      </c>
      <c r="F8" s="2">
        <f t="shared" si="0"/>
        <v>267289</v>
      </c>
      <c r="G8" s="5">
        <f t="shared" si="2"/>
        <v>9.4085532302092809E-2</v>
      </c>
      <c r="H8" s="6">
        <v>43586</v>
      </c>
      <c r="I8" s="2">
        <v>5495</v>
      </c>
      <c r="J8" s="2">
        <f t="shared" si="4"/>
        <v>5119.333333333333</v>
      </c>
      <c r="K8" s="2"/>
      <c r="L8" s="5">
        <f t="shared" si="3"/>
        <v>0.10719322990126939</v>
      </c>
      <c r="M8" s="7">
        <f t="shared" si="5"/>
        <v>375.66666666666697</v>
      </c>
      <c r="N8" s="8">
        <f t="shared" ref="N8:N27" si="7">POWER(M8,2)</f>
        <v>141125.44444444467</v>
      </c>
      <c r="O8" s="5">
        <f t="shared" si="6"/>
        <v>6.8365180467091349E-2</v>
      </c>
      <c r="P8" s="2"/>
      <c r="Q8" s="2"/>
    </row>
    <row r="9" spans="2:17" x14ac:dyDescent="0.3">
      <c r="B9" s="6">
        <v>43617</v>
      </c>
      <c r="C9" s="2">
        <v>4630</v>
      </c>
      <c r="D9" s="2">
        <v>5127</v>
      </c>
      <c r="E9" s="2">
        <f t="shared" si="1"/>
        <v>497</v>
      </c>
      <c r="F9" s="2">
        <f t="shared" si="0"/>
        <v>247009</v>
      </c>
      <c r="G9" s="5">
        <f t="shared" si="2"/>
        <v>0.10734341252699783</v>
      </c>
      <c r="H9" s="6">
        <v>43617</v>
      </c>
      <c r="I9" s="2">
        <v>4630</v>
      </c>
      <c r="J9" s="2">
        <f t="shared" si="4"/>
        <v>5387</v>
      </c>
      <c r="K9" s="2"/>
      <c r="L9" s="5">
        <f t="shared" si="3"/>
        <v>-0.15741583257506825</v>
      </c>
      <c r="M9" s="7">
        <f t="shared" si="5"/>
        <v>757</v>
      </c>
      <c r="N9" s="8">
        <f t="shared" si="7"/>
        <v>573049</v>
      </c>
      <c r="O9" s="5">
        <f t="shared" si="6"/>
        <v>0.16349892008639308</v>
      </c>
      <c r="P9" s="2"/>
      <c r="Q9" s="2"/>
    </row>
    <row r="10" spans="2:17" x14ac:dyDescent="0.3">
      <c r="B10" s="6">
        <v>43647</v>
      </c>
      <c r="C10" s="2">
        <v>4870</v>
      </c>
      <c r="D10" s="2">
        <v>4921</v>
      </c>
      <c r="E10" s="2">
        <f t="shared" si="1"/>
        <v>51</v>
      </c>
      <c r="F10" s="2">
        <f t="shared" si="0"/>
        <v>2601</v>
      </c>
      <c r="G10" s="5">
        <f t="shared" si="2"/>
        <v>1.0472279260780287E-2</v>
      </c>
      <c r="H10" s="6">
        <v>43647</v>
      </c>
      <c r="I10" s="2">
        <v>4870</v>
      </c>
      <c r="J10" s="2">
        <f t="shared" si="4"/>
        <v>5029.333333333333</v>
      </c>
      <c r="K10" s="2"/>
      <c r="L10" s="5">
        <f t="shared" si="3"/>
        <v>5.183585313174946E-2</v>
      </c>
      <c r="M10" s="7">
        <f t="shared" si="5"/>
        <v>159.33333333333303</v>
      </c>
      <c r="N10" s="8">
        <f t="shared" si="7"/>
        <v>25387.111111111015</v>
      </c>
      <c r="O10" s="5">
        <f t="shared" si="6"/>
        <v>3.2717316906228547E-2</v>
      </c>
      <c r="P10" s="2"/>
      <c r="Q10" s="2"/>
    </row>
    <row r="11" spans="2:17" x14ac:dyDescent="0.3">
      <c r="B11" s="6">
        <v>43678</v>
      </c>
      <c r="C11" s="2">
        <v>4573</v>
      </c>
      <c r="D11" s="2">
        <v>3253</v>
      </c>
      <c r="E11" s="2">
        <f t="shared" si="1"/>
        <v>1320</v>
      </c>
      <c r="F11" s="2">
        <f t="shared" si="0"/>
        <v>1742400</v>
      </c>
      <c r="G11" s="5">
        <f t="shared" si="2"/>
        <v>0.28865077629564839</v>
      </c>
      <c r="H11" s="6">
        <v>43678</v>
      </c>
      <c r="I11" s="2">
        <v>4573</v>
      </c>
      <c r="J11" s="2">
        <f t="shared" si="4"/>
        <v>4998.333333333333</v>
      </c>
      <c r="K11" s="2"/>
      <c r="L11" s="5">
        <f t="shared" si="3"/>
        <v>-6.098562628336756E-2</v>
      </c>
      <c r="M11" s="7">
        <f t="shared" si="5"/>
        <v>425.33333333333303</v>
      </c>
      <c r="N11" s="8">
        <f t="shared" si="7"/>
        <v>180908.44444444418</v>
      </c>
      <c r="O11" s="5">
        <f t="shared" si="6"/>
        <v>9.3009694584153299E-2</v>
      </c>
      <c r="P11" s="2"/>
      <c r="Q11" s="2"/>
    </row>
    <row r="12" spans="2:17" x14ac:dyDescent="0.3">
      <c r="B12" s="6">
        <v>43709</v>
      </c>
      <c r="C12" s="2">
        <v>4055</v>
      </c>
      <c r="D12" s="2">
        <v>4821</v>
      </c>
      <c r="E12" s="2">
        <f t="shared" si="1"/>
        <v>766</v>
      </c>
      <c r="F12" s="2">
        <f t="shared" si="0"/>
        <v>586756</v>
      </c>
      <c r="G12" s="5">
        <f t="shared" si="2"/>
        <v>0.18890258939580765</v>
      </c>
      <c r="H12" s="6">
        <v>43709</v>
      </c>
      <c r="I12" s="2">
        <v>4055</v>
      </c>
      <c r="J12" s="2">
        <f t="shared" si="4"/>
        <v>4691</v>
      </c>
      <c r="K12" s="2"/>
      <c r="L12" s="5">
        <f t="shared" si="3"/>
        <v>-0.11327356221298929</v>
      </c>
      <c r="M12" s="7">
        <f t="shared" si="5"/>
        <v>636</v>
      </c>
      <c r="N12" s="8">
        <f t="shared" si="7"/>
        <v>404496</v>
      </c>
      <c r="O12" s="5">
        <f t="shared" si="6"/>
        <v>0.15684340320591861</v>
      </c>
      <c r="P12" s="2"/>
      <c r="Q12" s="2"/>
    </row>
    <row r="13" spans="2:17" x14ac:dyDescent="0.3">
      <c r="B13" s="6">
        <v>43739</v>
      </c>
      <c r="C13" s="2">
        <v>5221</v>
      </c>
      <c r="D13" s="2">
        <v>6024</v>
      </c>
      <c r="E13" s="2">
        <f t="shared" si="1"/>
        <v>803</v>
      </c>
      <c r="F13" s="2">
        <f t="shared" si="0"/>
        <v>644809</v>
      </c>
      <c r="G13" s="5">
        <f t="shared" si="2"/>
        <v>0.15380195364872629</v>
      </c>
      <c r="H13" s="6">
        <v>43739</v>
      </c>
      <c r="I13" s="2">
        <v>5221</v>
      </c>
      <c r="J13" s="2">
        <f t="shared" si="4"/>
        <v>4499.333333333333</v>
      </c>
      <c r="K13" s="2"/>
      <c r="L13" s="5">
        <f t="shared" si="3"/>
        <v>0.28754623921085082</v>
      </c>
      <c r="M13" s="7">
        <f t="shared" si="5"/>
        <v>721.66666666666697</v>
      </c>
      <c r="N13" s="8">
        <f t="shared" si="7"/>
        <v>520802.77777777822</v>
      </c>
      <c r="O13" s="5">
        <f t="shared" si="6"/>
        <v>0.13822383962203927</v>
      </c>
      <c r="P13" s="2"/>
      <c r="Q13" s="2"/>
    </row>
    <row r="14" spans="2:17" x14ac:dyDescent="0.3">
      <c r="B14" s="6">
        <v>43770</v>
      </c>
      <c r="C14" s="2">
        <v>5144</v>
      </c>
      <c r="D14" s="2">
        <v>5850</v>
      </c>
      <c r="E14" s="2">
        <f t="shared" si="1"/>
        <v>706</v>
      </c>
      <c r="F14" s="2">
        <f t="shared" si="0"/>
        <v>498436</v>
      </c>
      <c r="G14" s="5">
        <f t="shared" si="2"/>
        <v>0.13724727838258166</v>
      </c>
      <c r="H14" s="6">
        <v>43770</v>
      </c>
      <c r="I14" s="2">
        <v>5144</v>
      </c>
      <c r="J14" s="2">
        <f t="shared" si="4"/>
        <v>4616.333333333333</v>
      </c>
      <c r="K14" s="2"/>
      <c r="L14" s="5">
        <f t="shared" si="3"/>
        <v>-1.4748132541658686E-2</v>
      </c>
      <c r="M14" s="7">
        <f t="shared" si="5"/>
        <v>527.66666666666697</v>
      </c>
      <c r="N14" s="8">
        <f t="shared" si="7"/>
        <v>278432.11111111142</v>
      </c>
      <c r="O14" s="5">
        <f t="shared" si="6"/>
        <v>0.10257905650596169</v>
      </c>
      <c r="P14" s="2"/>
      <c r="Q14" s="2"/>
    </row>
    <row r="15" spans="2:17" x14ac:dyDescent="0.3">
      <c r="B15" s="6">
        <v>43800</v>
      </c>
      <c r="C15" s="2">
        <v>6316</v>
      </c>
      <c r="D15" s="7">
        <v>5789.29</v>
      </c>
      <c r="E15" s="2">
        <f t="shared" si="1"/>
        <v>526.71</v>
      </c>
      <c r="F15" s="2">
        <f t="shared" si="0"/>
        <v>277423.42410000006</v>
      </c>
      <c r="G15" s="5">
        <f t="shared" si="2"/>
        <v>8.3392970234325528E-2</v>
      </c>
      <c r="H15" s="6">
        <v>43800</v>
      </c>
      <c r="I15" s="2">
        <v>6316</v>
      </c>
      <c r="J15" s="2">
        <f t="shared" si="4"/>
        <v>4806.666666666667</v>
      </c>
      <c r="K15" s="2"/>
      <c r="L15" s="5">
        <f t="shared" si="3"/>
        <v>0.22783825816485226</v>
      </c>
      <c r="M15" s="7">
        <f t="shared" si="5"/>
        <v>1509.333333333333</v>
      </c>
      <c r="N15" s="8">
        <f t="shared" si="7"/>
        <v>2278087.1111111101</v>
      </c>
      <c r="O15" s="5">
        <f t="shared" si="6"/>
        <v>0.23896981211737381</v>
      </c>
      <c r="P15" s="2"/>
      <c r="Q15" s="2"/>
    </row>
    <row r="16" spans="2:17" x14ac:dyDescent="0.3">
      <c r="B16" s="6">
        <v>43831</v>
      </c>
      <c r="C16" s="2">
        <v>5809</v>
      </c>
      <c r="D16" s="2">
        <v>6131</v>
      </c>
      <c r="E16" s="2">
        <f t="shared" si="1"/>
        <v>322</v>
      </c>
      <c r="F16" s="2">
        <f t="shared" si="0"/>
        <v>103684</v>
      </c>
      <c r="G16" s="5">
        <f t="shared" si="2"/>
        <v>5.5431227405749697E-2</v>
      </c>
      <c r="H16" s="6">
        <v>43831</v>
      </c>
      <c r="I16" s="2">
        <v>5809</v>
      </c>
      <c r="J16" s="2">
        <f t="shared" si="4"/>
        <v>5560.333333333333</v>
      </c>
      <c r="K16" s="5">
        <f t="shared" ref="K16:K27" si="8">(C16-C4)/C4</f>
        <v>0.30071652485445588</v>
      </c>
      <c r="L16" s="5">
        <f t="shared" si="3"/>
        <v>-8.0272324255858132E-2</v>
      </c>
      <c r="M16" s="7">
        <f t="shared" si="5"/>
        <v>248.66666666666697</v>
      </c>
      <c r="N16" s="8">
        <f t="shared" si="7"/>
        <v>61835.111111111262</v>
      </c>
      <c r="O16" s="5">
        <f t="shared" si="6"/>
        <v>4.2807138348539678E-2</v>
      </c>
      <c r="P16" s="2"/>
      <c r="Q16" s="2"/>
    </row>
    <row r="17" spans="2:17" x14ac:dyDescent="0.3">
      <c r="B17" s="6">
        <v>43862</v>
      </c>
      <c r="C17" s="2">
        <v>5617</v>
      </c>
      <c r="D17" s="2">
        <v>5900</v>
      </c>
      <c r="E17" s="2">
        <f t="shared" si="1"/>
        <v>283</v>
      </c>
      <c r="F17" s="2">
        <f t="shared" si="0"/>
        <v>80089</v>
      </c>
      <c r="G17" s="5">
        <f t="shared" si="2"/>
        <v>5.0382766601388643E-2</v>
      </c>
      <c r="H17" s="6">
        <v>43862</v>
      </c>
      <c r="I17" s="2">
        <v>5617</v>
      </c>
      <c r="J17" s="2">
        <f t="shared" si="4"/>
        <v>5756.333333333333</v>
      </c>
      <c r="K17" s="5">
        <f t="shared" si="8"/>
        <v>0.19714407502131287</v>
      </c>
      <c r="L17" s="5">
        <f t="shared" si="3"/>
        <v>-3.305216044069547E-2</v>
      </c>
      <c r="M17" s="7">
        <f t="shared" si="5"/>
        <v>139.33333333333303</v>
      </c>
      <c r="N17" s="8">
        <f t="shared" si="7"/>
        <v>19413.777777777694</v>
      </c>
      <c r="O17" s="5">
        <f t="shared" si="6"/>
        <v>2.4805649516349126E-2</v>
      </c>
      <c r="P17" s="2"/>
      <c r="Q17" s="2"/>
    </row>
    <row r="18" spans="2:17" x14ac:dyDescent="0.3">
      <c r="B18" s="6">
        <v>43891</v>
      </c>
      <c r="C18" s="2">
        <v>5380</v>
      </c>
      <c r="D18" s="2">
        <v>4175</v>
      </c>
      <c r="E18" s="2">
        <f t="shared" si="1"/>
        <v>1205</v>
      </c>
      <c r="F18" s="2">
        <f t="shared" si="0"/>
        <v>1452025</v>
      </c>
      <c r="G18" s="5">
        <f t="shared" si="2"/>
        <v>0.22397769516728624</v>
      </c>
      <c r="H18" s="6">
        <v>43891</v>
      </c>
      <c r="I18" s="2">
        <v>5380</v>
      </c>
      <c r="J18" s="2">
        <f t="shared" si="4"/>
        <v>5914</v>
      </c>
      <c r="K18" s="5">
        <f t="shared" si="8"/>
        <v>-5.663685779414343E-2</v>
      </c>
      <c r="L18" s="5">
        <f t="shared" si="3"/>
        <v>-4.2193341641445614E-2</v>
      </c>
      <c r="M18" s="7">
        <f t="shared" si="5"/>
        <v>534</v>
      </c>
      <c r="N18" s="8">
        <f t="shared" si="7"/>
        <v>285156</v>
      </c>
      <c r="O18" s="5">
        <f t="shared" si="6"/>
        <v>9.9256505576208173E-2</v>
      </c>
      <c r="P18" s="2"/>
      <c r="Q18" s="5"/>
    </row>
    <row r="19" spans="2:17" x14ac:dyDescent="0.3">
      <c r="B19" s="6">
        <v>43922</v>
      </c>
      <c r="C19" s="2">
        <v>5469</v>
      </c>
      <c r="D19" s="2">
        <v>5100</v>
      </c>
      <c r="E19" s="2">
        <f t="shared" si="1"/>
        <v>369</v>
      </c>
      <c r="F19" s="2">
        <f t="shared" si="0"/>
        <v>136161</v>
      </c>
      <c r="G19" s="5">
        <f t="shared" si="2"/>
        <v>6.7471201316511242E-2</v>
      </c>
      <c r="H19" s="6">
        <v>43922</v>
      </c>
      <c r="I19" s="2">
        <v>5469</v>
      </c>
      <c r="J19" s="2">
        <f t="shared" si="4"/>
        <v>5602</v>
      </c>
      <c r="K19" s="5">
        <f t="shared" si="8"/>
        <v>0.10195446302639533</v>
      </c>
      <c r="L19" s="2"/>
      <c r="M19" s="7">
        <f t="shared" si="5"/>
        <v>133</v>
      </c>
      <c r="N19" s="8">
        <f t="shared" si="7"/>
        <v>17689</v>
      </c>
      <c r="O19" s="5">
        <f t="shared" si="6"/>
        <v>2.4318888279392943E-2</v>
      </c>
      <c r="P19" s="2"/>
      <c r="Q19" s="5"/>
    </row>
    <row r="20" spans="2:17" x14ac:dyDescent="0.3">
      <c r="B20" s="6">
        <v>43952</v>
      </c>
      <c r="C20" s="2">
        <v>5285</v>
      </c>
      <c r="D20" s="2">
        <v>5593</v>
      </c>
      <c r="E20" s="2">
        <f t="shared" si="1"/>
        <v>308</v>
      </c>
      <c r="F20" s="2">
        <f t="shared" si="0"/>
        <v>94864</v>
      </c>
      <c r="G20" s="5">
        <f t="shared" si="2"/>
        <v>5.8278145695364242E-2</v>
      </c>
      <c r="H20" s="6">
        <v>43952</v>
      </c>
      <c r="I20" s="2">
        <v>5285</v>
      </c>
      <c r="J20" s="2">
        <f t="shared" si="4"/>
        <v>5488.666666666667</v>
      </c>
      <c r="K20" s="5">
        <f t="shared" si="8"/>
        <v>-3.8216560509554139E-2</v>
      </c>
      <c r="L20" s="2"/>
      <c r="M20" s="7">
        <f t="shared" si="5"/>
        <v>203.66666666666697</v>
      </c>
      <c r="N20" s="8">
        <f t="shared" si="7"/>
        <v>41480.111111111233</v>
      </c>
      <c r="O20" s="5">
        <f t="shared" si="6"/>
        <v>3.8536739198990914E-2</v>
      </c>
      <c r="P20" s="2"/>
      <c r="Q20" s="5"/>
    </row>
    <row r="21" spans="2:17" x14ac:dyDescent="0.3">
      <c r="B21" s="6">
        <v>43983</v>
      </c>
      <c r="C21" s="2">
        <v>5371</v>
      </c>
      <c r="D21" s="2">
        <v>4956</v>
      </c>
      <c r="E21" s="2">
        <f t="shared" si="1"/>
        <v>415</v>
      </c>
      <c r="F21" s="2">
        <f t="shared" si="0"/>
        <v>172225</v>
      </c>
      <c r="G21" s="5">
        <f t="shared" si="2"/>
        <v>7.7266803202383175E-2</v>
      </c>
      <c r="H21" s="6">
        <v>43983</v>
      </c>
      <c r="I21" s="2">
        <v>5371</v>
      </c>
      <c r="J21" s="2">
        <f t="shared" si="4"/>
        <v>5378</v>
      </c>
      <c r="K21" s="5">
        <f t="shared" si="8"/>
        <v>0.16004319654427646</v>
      </c>
      <c r="L21" s="2"/>
      <c r="M21" s="7">
        <f t="shared" si="5"/>
        <v>7</v>
      </c>
      <c r="N21" s="8">
        <f t="shared" si="7"/>
        <v>49</v>
      </c>
      <c r="O21" s="5">
        <f t="shared" si="6"/>
        <v>1.3032954757028485E-3</v>
      </c>
      <c r="P21" s="2"/>
      <c r="Q21" s="5"/>
    </row>
    <row r="22" spans="2:17" x14ac:dyDescent="0.3">
      <c r="B22" s="6">
        <v>44013</v>
      </c>
      <c r="C22" s="2">
        <v>5083</v>
      </c>
      <c r="D22" s="2">
        <v>4991</v>
      </c>
      <c r="E22" s="2">
        <f t="shared" si="1"/>
        <v>92</v>
      </c>
      <c r="F22" s="2">
        <f t="shared" si="0"/>
        <v>8464</v>
      </c>
      <c r="G22" s="5">
        <f t="shared" si="2"/>
        <v>1.8099547511312219E-2</v>
      </c>
      <c r="H22" s="6">
        <v>44013</v>
      </c>
      <c r="I22" s="2">
        <v>4953</v>
      </c>
      <c r="J22" s="2">
        <f t="shared" si="4"/>
        <v>5375</v>
      </c>
      <c r="K22" s="5">
        <f t="shared" si="8"/>
        <v>4.373716632443532E-2</v>
      </c>
      <c r="L22" s="2"/>
      <c r="M22" s="7">
        <f t="shared" si="5"/>
        <v>292</v>
      </c>
      <c r="N22" s="8">
        <f t="shared" si="7"/>
        <v>85264</v>
      </c>
      <c r="O22" s="5">
        <f t="shared" si="6"/>
        <v>5.7446389927208338E-2</v>
      </c>
      <c r="P22" s="2"/>
      <c r="Q22" s="5"/>
    </row>
    <row r="23" spans="2:17" x14ac:dyDescent="0.3">
      <c r="B23" s="6">
        <v>44044</v>
      </c>
      <c r="C23" s="7">
        <v>5315</v>
      </c>
      <c r="D23" s="2">
        <v>4800</v>
      </c>
      <c r="E23" s="2">
        <f t="shared" si="1"/>
        <v>515</v>
      </c>
      <c r="F23" s="2">
        <f t="shared" si="0"/>
        <v>265225</v>
      </c>
      <c r="G23" s="5">
        <f t="shared" si="2"/>
        <v>9.6895578551269984E-2</v>
      </c>
      <c r="H23" s="6">
        <v>44044</v>
      </c>
      <c r="I23" s="7">
        <v>5315</v>
      </c>
      <c r="J23" s="2">
        <f t="shared" si="4"/>
        <v>5246.333333333333</v>
      </c>
      <c r="K23" s="5">
        <f t="shared" si="8"/>
        <v>0.16225672425103871</v>
      </c>
      <c r="L23" s="2"/>
      <c r="M23" s="7">
        <f t="shared" si="5"/>
        <v>68.66666666666697</v>
      </c>
      <c r="N23" s="8">
        <f t="shared" si="7"/>
        <v>4715.1111111111531</v>
      </c>
      <c r="O23" s="5">
        <f t="shared" si="6"/>
        <v>1.2919410473502722E-2</v>
      </c>
      <c r="P23" s="2"/>
      <c r="Q23" s="5"/>
    </row>
    <row r="24" spans="2:17" x14ac:dyDescent="0.3">
      <c r="B24" s="6">
        <v>44075</v>
      </c>
      <c r="C24" s="7">
        <v>4776</v>
      </c>
      <c r="D24" s="2">
        <v>5080</v>
      </c>
      <c r="E24" s="2">
        <f t="shared" si="1"/>
        <v>304</v>
      </c>
      <c r="F24" s="2">
        <f t="shared" si="0"/>
        <v>92416</v>
      </c>
      <c r="G24" s="5">
        <f t="shared" si="2"/>
        <v>6.3651591289782247E-2</v>
      </c>
      <c r="H24" s="6">
        <v>44075</v>
      </c>
      <c r="I24" s="7">
        <v>4776</v>
      </c>
      <c r="J24" s="2">
        <f t="shared" si="4"/>
        <v>5256.333333333333</v>
      </c>
      <c r="K24" s="5">
        <f t="shared" si="8"/>
        <v>0.17780517879161528</v>
      </c>
      <c r="L24" s="2"/>
      <c r="M24" s="7">
        <f t="shared" si="5"/>
        <v>480.33333333333303</v>
      </c>
      <c r="N24" s="8">
        <f t="shared" si="7"/>
        <v>230720.11111111083</v>
      </c>
      <c r="O24" s="5">
        <f t="shared" si="6"/>
        <v>0.10057230597431596</v>
      </c>
      <c r="P24" s="2"/>
      <c r="Q24" s="5"/>
    </row>
    <row r="25" spans="2:17" x14ac:dyDescent="0.3">
      <c r="B25" s="6">
        <v>44105</v>
      </c>
      <c r="C25" s="7">
        <v>5763</v>
      </c>
      <c r="D25" s="2">
        <v>5437</v>
      </c>
      <c r="E25" s="2">
        <f t="shared" si="1"/>
        <v>326</v>
      </c>
      <c r="F25" s="2">
        <f t="shared" si="0"/>
        <v>106276</v>
      </c>
      <c r="G25" s="5">
        <f t="shared" si="2"/>
        <v>5.6567759847301752E-2</v>
      </c>
      <c r="H25" s="6">
        <v>44105</v>
      </c>
      <c r="I25" s="7">
        <v>5763</v>
      </c>
      <c r="J25" s="2">
        <f t="shared" si="4"/>
        <v>5058</v>
      </c>
      <c r="K25" s="5">
        <f t="shared" si="8"/>
        <v>0.10381153035816894</v>
      </c>
      <c r="L25" s="2"/>
      <c r="M25" s="7">
        <f t="shared" si="5"/>
        <v>705</v>
      </c>
      <c r="N25" s="8">
        <f t="shared" si="7"/>
        <v>497025</v>
      </c>
      <c r="O25" s="5">
        <f t="shared" si="6"/>
        <v>0.12233211868818324</v>
      </c>
      <c r="P25" s="2"/>
      <c r="Q25" s="5"/>
    </row>
    <row r="26" spans="2:17" x14ac:dyDescent="0.3">
      <c r="B26" s="6">
        <v>44136</v>
      </c>
      <c r="C26" s="7">
        <v>5389</v>
      </c>
      <c r="D26" s="2">
        <v>5625</v>
      </c>
      <c r="E26" s="2">
        <f t="shared" si="1"/>
        <v>236</v>
      </c>
      <c r="F26" s="2">
        <f t="shared" si="0"/>
        <v>55696</v>
      </c>
      <c r="G26" s="5">
        <f t="shared" si="2"/>
        <v>4.3792911486361108E-2</v>
      </c>
      <c r="H26" s="6">
        <v>44136</v>
      </c>
      <c r="I26" s="7">
        <v>5389</v>
      </c>
      <c r="J26" s="2">
        <f t="shared" si="4"/>
        <v>5284.666666666667</v>
      </c>
      <c r="K26" s="5">
        <f t="shared" si="8"/>
        <v>4.7628304821150852E-2</v>
      </c>
      <c r="L26" s="2"/>
      <c r="M26" s="7">
        <f t="shared" si="5"/>
        <v>104.33333333333303</v>
      </c>
      <c r="N26" s="8">
        <f t="shared" si="7"/>
        <v>10885.444444444382</v>
      </c>
      <c r="O26" s="5">
        <f t="shared" si="6"/>
        <v>1.9360425558235857E-2</v>
      </c>
      <c r="P26" s="2"/>
      <c r="Q26" s="5"/>
    </row>
    <row r="27" spans="2:17" x14ac:dyDescent="0.3">
      <c r="B27" s="6">
        <v>44166</v>
      </c>
      <c r="C27" s="7">
        <v>6233</v>
      </c>
      <c r="D27" s="2">
        <v>6600</v>
      </c>
      <c r="E27" s="2">
        <f t="shared" si="1"/>
        <v>367</v>
      </c>
      <c r="F27" s="2">
        <f t="shared" si="0"/>
        <v>134689</v>
      </c>
      <c r="G27" s="5">
        <f t="shared" si="2"/>
        <v>5.8880154018931492E-2</v>
      </c>
      <c r="H27" s="6">
        <v>44166</v>
      </c>
      <c r="I27" s="7">
        <v>6233</v>
      </c>
      <c r="J27" s="2">
        <f t="shared" si="4"/>
        <v>5309.333333333333</v>
      </c>
      <c r="K27" s="5">
        <f t="shared" si="8"/>
        <v>-1.3141228625712476E-2</v>
      </c>
      <c r="L27" s="2"/>
      <c r="M27" s="7">
        <f t="shared" si="5"/>
        <v>923.66666666666697</v>
      </c>
      <c r="N27" s="8">
        <f t="shared" si="7"/>
        <v>853160.11111111171</v>
      </c>
      <c r="O27" s="5">
        <f t="shared" si="6"/>
        <v>0.14818974276699293</v>
      </c>
      <c r="P27" s="2"/>
      <c r="Q27" s="5"/>
    </row>
    <row r="28" spans="2:17" x14ac:dyDescent="0.3">
      <c r="B28" s="6"/>
      <c r="C28" s="7"/>
      <c r="D28" s="2"/>
      <c r="E28" s="2"/>
      <c r="F28" s="2"/>
      <c r="G28" s="5"/>
      <c r="H28" s="5"/>
      <c r="I28" s="5"/>
      <c r="J28" s="2"/>
      <c r="K28" s="2"/>
      <c r="L28" s="2"/>
      <c r="M28" s="2"/>
      <c r="N28" s="2"/>
      <c r="O28" s="2"/>
      <c r="P28" s="2"/>
      <c r="Q28" s="2"/>
    </row>
    <row r="29" spans="2:17" x14ac:dyDescent="0.3">
      <c r="B29" s="6"/>
      <c r="C29" s="7"/>
      <c r="D29" s="2" t="s">
        <v>4</v>
      </c>
      <c r="E29" s="2">
        <f>SUM(E7:E27)/COUNT(E7:E27)</f>
        <v>487.6528571428571</v>
      </c>
      <c r="F29" s="2"/>
      <c r="G29" s="2"/>
      <c r="H29" s="2"/>
      <c r="I29" s="2"/>
      <c r="J29" s="2"/>
      <c r="K29" s="2"/>
      <c r="L29" s="2"/>
      <c r="M29" s="2" t="s">
        <v>4</v>
      </c>
      <c r="N29" s="2">
        <f>SUM(M7:M27)/COUNT(M7:M27)</f>
        <v>426.71428571428572</v>
      </c>
      <c r="O29" s="2"/>
      <c r="P29" s="2"/>
      <c r="Q29" s="2"/>
    </row>
    <row r="30" spans="2:17" x14ac:dyDescent="0.3">
      <c r="B30" s="6"/>
      <c r="C30" s="7"/>
      <c r="D30" s="2" t="s">
        <v>5</v>
      </c>
      <c r="E30" s="2">
        <f>SUM(F7:F27)/(COUNT(E7:E27)-1)</f>
        <v>353294.07120500004</v>
      </c>
      <c r="F30" s="2"/>
      <c r="G30" s="2"/>
      <c r="H30" s="2"/>
      <c r="I30" s="2"/>
      <c r="J30" s="2"/>
      <c r="K30" s="2"/>
      <c r="L30" s="2"/>
      <c r="M30" s="2" t="s">
        <v>5</v>
      </c>
      <c r="N30" s="2">
        <f>SUM(N7:N27)/(COUNT(M7:M27)-1)</f>
        <v>325488.39444444439</v>
      </c>
      <c r="O30" s="2"/>
      <c r="P30" s="2"/>
      <c r="Q30" s="2"/>
    </row>
    <row r="31" spans="2:17" x14ac:dyDescent="0.3">
      <c r="B31" s="6"/>
      <c r="C31" s="7"/>
      <c r="D31" s="2" t="s">
        <v>6</v>
      </c>
      <c r="E31" s="5">
        <f>SUM(G7:G27)</f>
        <v>1.9974573766390913</v>
      </c>
      <c r="F31" s="2"/>
      <c r="G31" s="2"/>
      <c r="H31" s="2"/>
      <c r="I31" s="2"/>
      <c r="J31" s="2"/>
      <c r="K31" s="2"/>
      <c r="L31" s="2"/>
      <c r="M31" s="2" t="s">
        <v>9</v>
      </c>
      <c r="N31" s="5">
        <f>SUM(O7:O27)</f>
        <v>1.6879364162595063</v>
      </c>
      <c r="O31" s="2"/>
      <c r="P31" s="2"/>
      <c r="Q31" s="2"/>
    </row>
    <row r="32" spans="2:17" x14ac:dyDescent="0.3">
      <c r="B32" s="1"/>
      <c r="C32" s="3"/>
    </row>
    <row r="33" spans="2:3" x14ac:dyDescent="0.3">
      <c r="B33" s="1"/>
      <c r="C33" s="3"/>
    </row>
    <row r="34" spans="2:3" x14ac:dyDescent="0.3">
      <c r="B34" s="1"/>
      <c r="C34" s="3"/>
    </row>
    <row r="35" spans="2:3" x14ac:dyDescent="0.3">
      <c r="B35" s="1"/>
      <c r="C35" s="3"/>
    </row>
    <row r="36" spans="2:3" x14ac:dyDescent="0.3">
      <c r="B36" s="1"/>
      <c r="C36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407D-8983-403A-9BA0-1927E7A6EDAA}">
  <dimension ref="B1:M29"/>
  <sheetViews>
    <sheetView tabSelected="1" topLeftCell="B19" workbookViewId="0">
      <selection activeCell="M35" sqref="M35"/>
    </sheetView>
  </sheetViews>
  <sheetFormatPr defaultRowHeight="15.6" x14ac:dyDescent="0.3"/>
  <cols>
    <col min="3" max="3" width="13.796875" bestFit="1" customWidth="1"/>
    <col min="4" max="4" width="17.69921875" bestFit="1" customWidth="1"/>
    <col min="7" max="7" width="11.19921875" bestFit="1" customWidth="1"/>
    <col min="9" max="9" width="13.796875" bestFit="1" customWidth="1"/>
  </cols>
  <sheetData>
    <row r="1" spans="2:13" x14ac:dyDescent="0.3">
      <c r="B1" t="s">
        <v>11</v>
      </c>
      <c r="C1" t="s">
        <v>12</v>
      </c>
      <c r="D1" t="s">
        <v>13</v>
      </c>
      <c r="E1" t="s">
        <v>2</v>
      </c>
      <c r="F1" t="s">
        <v>3</v>
      </c>
      <c r="G1" t="s">
        <v>10</v>
      </c>
      <c r="H1" t="s">
        <v>11</v>
      </c>
      <c r="I1" t="s">
        <v>12</v>
      </c>
      <c r="J1" t="s">
        <v>14</v>
      </c>
      <c r="K1" t="s">
        <v>2</v>
      </c>
      <c r="L1" t="s">
        <v>3</v>
      </c>
      <c r="M1" t="s">
        <v>7</v>
      </c>
    </row>
    <row r="2" spans="2:13" x14ac:dyDescent="0.3">
      <c r="B2" s="6">
        <v>43466</v>
      </c>
      <c r="C2" s="2">
        <v>4466</v>
      </c>
      <c r="D2" s="2">
        <v>4686</v>
      </c>
      <c r="E2" s="2">
        <f>ABS(C2-D2)</f>
        <v>220</v>
      </c>
      <c r="F2" s="2">
        <f t="shared" ref="F2:F25" si="0">POWER(E2,2)</f>
        <v>48400</v>
      </c>
      <c r="G2" s="5">
        <f>E2/C2</f>
        <v>4.9261083743842367E-2</v>
      </c>
      <c r="H2" s="6">
        <v>43466</v>
      </c>
      <c r="I2" s="2">
        <v>4466</v>
      </c>
      <c r="J2" s="2"/>
      <c r="K2" s="2"/>
      <c r="L2" s="6"/>
      <c r="M2" s="2"/>
    </row>
    <row r="3" spans="2:13" x14ac:dyDescent="0.3">
      <c r="B3" s="6">
        <v>43497</v>
      </c>
      <c r="C3" s="2">
        <v>4692</v>
      </c>
      <c r="D3" s="2">
        <v>4677</v>
      </c>
      <c r="E3" s="2">
        <f t="shared" ref="E3:E25" si="1">ABS(C3-D3)</f>
        <v>15</v>
      </c>
      <c r="F3" s="2">
        <f t="shared" si="0"/>
        <v>225</v>
      </c>
      <c r="G3" s="5">
        <f t="shared" ref="G3:G25" si="2">E3/C3</f>
        <v>3.19693094629156E-3</v>
      </c>
      <c r="H3" s="6">
        <v>43497</v>
      </c>
      <c r="I3" s="2">
        <v>4692</v>
      </c>
      <c r="J3" s="2"/>
      <c r="K3" s="2"/>
      <c r="L3" s="6"/>
      <c r="M3" s="2"/>
    </row>
    <row r="4" spans="2:13" x14ac:dyDescent="0.3">
      <c r="B4" s="6">
        <v>43525</v>
      </c>
      <c r="C4" s="2">
        <v>5703</v>
      </c>
      <c r="D4" s="2">
        <v>5537</v>
      </c>
      <c r="E4" s="2">
        <f t="shared" si="1"/>
        <v>166</v>
      </c>
      <c r="F4" s="2">
        <f t="shared" si="0"/>
        <v>27556</v>
      </c>
      <c r="G4" s="5">
        <f t="shared" si="2"/>
        <v>2.9107487287392601E-2</v>
      </c>
      <c r="H4" s="6">
        <v>43525</v>
      </c>
      <c r="I4" s="2">
        <v>5703</v>
      </c>
      <c r="J4" s="2"/>
      <c r="K4" s="2"/>
      <c r="L4" s="6"/>
      <c r="M4" s="2"/>
    </row>
    <row r="5" spans="2:13" x14ac:dyDescent="0.3">
      <c r="B5" s="6">
        <v>43556</v>
      </c>
      <c r="C5" s="2">
        <v>4963</v>
      </c>
      <c r="D5" s="2">
        <v>5275</v>
      </c>
      <c r="E5" s="2">
        <f t="shared" si="1"/>
        <v>312</v>
      </c>
      <c r="F5" s="2">
        <f t="shared" si="0"/>
        <v>97344</v>
      </c>
      <c r="G5" s="5">
        <f t="shared" si="2"/>
        <v>6.2865202498488815E-2</v>
      </c>
      <c r="H5" s="6">
        <v>43556</v>
      </c>
      <c r="I5" s="2">
        <v>4963</v>
      </c>
      <c r="J5" s="2"/>
      <c r="K5" s="7"/>
      <c r="L5" s="8"/>
      <c r="M5" s="5"/>
    </row>
    <row r="6" spans="2:13" x14ac:dyDescent="0.3">
      <c r="B6" s="6">
        <v>43586</v>
      </c>
      <c r="C6" s="2">
        <v>5495</v>
      </c>
      <c r="D6" s="2">
        <v>6012</v>
      </c>
      <c r="E6" s="2">
        <f t="shared" si="1"/>
        <v>517</v>
      </c>
      <c r="F6" s="2">
        <f t="shared" si="0"/>
        <v>267289</v>
      </c>
      <c r="G6" s="5">
        <f t="shared" si="2"/>
        <v>9.4085532302092809E-2</v>
      </c>
      <c r="H6" s="6">
        <v>43586</v>
      </c>
      <c r="I6" s="2">
        <v>5495</v>
      </c>
      <c r="J6" s="2"/>
      <c r="K6" s="7"/>
      <c r="L6" s="8"/>
      <c r="M6" s="5"/>
    </row>
    <row r="7" spans="2:13" x14ac:dyDescent="0.3">
      <c r="B7" s="6">
        <v>43617</v>
      </c>
      <c r="C7" s="2">
        <v>4630</v>
      </c>
      <c r="D7" s="2">
        <v>5127</v>
      </c>
      <c r="E7" s="2">
        <f t="shared" si="1"/>
        <v>497</v>
      </c>
      <c r="F7" s="2">
        <f t="shared" si="0"/>
        <v>247009</v>
      </c>
      <c r="G7" s="5">
        <f t="shared" si="2"/>
        <v>0.10734341252699783</v>
      </c>
      <c r="H7" s="6">
        <v>43617</v>
      </c>
      <c r="I7" s="2">
        <v>4630</v>
      </c>
      <c r="J7" s="2">
        <f>SUM(C2:C6)/5</f>
        <v>5063.8</v>
      </c>
      <c r="K7" s="7">
        <f>ABS(C7-J7)</f>
        <v>433.80000000000018</v>
      </c>
      <c r="L7" s="8">
        <f>POWER(K7,2)</f>
        <v>188182.44000000015</v>
      </c>
      <c r="M7" s="5">
        <f>K7/C7</f>
        <v>9.3693304535637192E-2</v>
      </c>
    </row>
    <row r="8" spans="2:13" x14ac:dyDescent="0.3">
      <c r="B8" s="6">
        <v>43647</v>
      </c>
      <c r="C8" s="2">
        <v>4870</v>
      </c>
      <c r="D8" s="2">
        <v>4921</v>
      </c>
      <c r="E8" s="2">
        <f t="shared" si="1"/>
        <v>51</v>
      </c>
      <c r="F8" s="2">
        <f t="shared" si="0"/>
        <v>2601</v>
      </c>
      <c r="G8" s="5">
        <f t="shared" si="2"/>
        <v>1.0472279260780287E-2</v>
      </c>
      <c r="H8" s="6">
        <v>43647</v>
      </c>
      <c r="I8" s="2">
        <v>4870</v>
      </c>
      <c r="J8" s="2">
        <f t="shared" ref="J8:J25" si="3">SUM(C3:C7)/5</f>
        <v>5096.6000000000004</v>
      </c>
      <c r="K8" s="7">
        <f>ABS(C8-J8)</f>
        <v>226.60000000000036</v>
      </c>
      <c r="L8" s="8">
        <f t="shared" ref="L8:L25" si="4">POWER(K8,2)</f>
        <v>51347.560000000165</v>
      </c>
      <c r="M8" s="5">
        <f>K8/C8</f>
        <v>4.6529774127310138E-2</v>
      </c>
    </row>
    <row r="9" spans="2:13" x14ac:dyDescent="0.3">
      <c r="B9" s="6">
        <v>43678</v>
      </c>
      <c r="C9" s="2">
        <v>4573</v>
      </c>
      <c r="D9" s="2">
        <v>3253</v>
      </c>
      <c r="E9" s="2">
        <f t="shared" si="1"/>
        <v>1320</v>
      </c>
      <c r="F9" s="2">
        <f t="shared" si="0"/>
        <v>1742400</v>
      </c>
      <c r="G9" s="5">
        <f t="shared" si="2"/>
        <v>0.28865077629564839</v>
      </c>
      <c r="H9" s="6">
        <v>43678</v>
      </c>
      <c r="I9" s="2">
        <v>4573</v>
      </c>
      <c r="J9" s="2">
        <f t="shared" si="3"/>
        <v>5132.2</v>
      </c>
      <c r="K9" s="7">
        <f>ABS(C9-J9)</f>
        <v>559.19999999999982</v>
      </c>
      <c r="L9" s="8">
        <f t="shared" si="4"/>
        <v>312704.63999999978</v>
      </c>
      <c r="M9" s="5">
        <f>K9/C9</f>
        <v>0.12228296523070191</v>
      </c>
    </row>
    <row r="10" spans="2:13" x14ac:dyDescent="0.3">
      <c r="B10" s="6">
        <v>43709</v>
      </c>
      <c r="C10" s="2">
        <v>4055</v>
      </c>
      <c r="D10" s="2">
        <v>4821</v>
      </c>
      <c r="E10" s="2">
        <f t="shared" si="1"/>
        <v>766</v>
      </c>
      <c r="F10" s="2">
        <f t="shared" si="0"/>
        <v>586756</v>
      </c>
      <c r="G10" s="5">
        <f t="shared" si="2"/>
        <v>0.18890258939580765</v>
      </c>
      <c r="H10" s="6">
        <v>43709</v>
      </c>
      <c r="I10" s="2">
        <v>4055</v>
      </c>
      <c r="J10" s="2">
        <f t="shared" si="3"/>
        <v>4906.2</v>
      </c>
      <c r="K10" s="7">
        <f>ABS(C10-J10)</f>
        <v>851.19999999999982</v>
      </c>
      <c r="L10" s="8">
        <f t="shared" si="4"/>
        <v>724541.43999999971</v>
      </c>
      <c r="M10" s="5">
        <f>K10/C10</f>
        <v>0.20991368680641179</v>
      </c>
    </row>
    <row r="11" spans="2:13" x14ac:dyDescent="0.3">
      <c r="B11" s="6">
        <v>43739</v>
      </c>
      <c r="C11" s="2">
        <v>5221</v>
      </c>
      <c r="D11" s="2">
        <v>6024</v>
      </c>
      <c r="E11" s="2">
        <f t="shared" si="1"/>
        <v>803</v>
      </c>
      <c r="F11" s="2">
        <f t="shared" si="0"/>
        <v>644809</v>
      </c>
      <c r="G11" s="5">
        <f t="shared" si="2"/>
        <v>0.15380195364872629</v>
      </c>
      <c r="H11" s="6">
        <v>43739</v>
      </c>
      <c r="I11" s="2">
        <v>5221</v>
      </c>
      <c r="J11" s="2">
        <f t="shared" si="3"/>
        <v>4724.6000000000004</v>
      </c>
      <c r="K11" s="7">
        <f>ABS(C11-J11)</f>
        <v>496.39999999999964</v>
      </c>
      <c r="L11" s="8">
        <f t="shared" si="4"/>
        <v>246412.95999999964</v>
      </c>
      <c r="M11" s="5">
        <f>K11/C11</f>
        <v>9.5077571346485285E-2</v>
      </c>
    </row>
    <row r="12" spans="2:13" x14ac:dyDescent="0.3">
      <c r="B12" s="6">
        <v>43770</v>
      </c>
      <c r="C12" s="2">
        <v>5144</v>
      </c>
      <c r="D12" s="2">
        <v>5850</v>
      </c>
      <c r="E12" s="2">
        <f t="shared" si="1"/>
        <v>706</v>
      </c>
      <c r="F12" s="2">
        <f t="shared" si="0"/>
        <v>498436</v>
      </c>
      <c r="G12" s="5">
        <f t="shared" si="2"/>
        <v>0.13724727838258166</v>
      </c>
      <c r="H12" s="6">
        <v>43770</v>
      </c>
      <c r="I12" s="2">
        <v>5144</v>
      </c>
      <c r="J12" s="2">
        <f t="shared" si="3"/>
        <v>4669.8</v>
      </c>
      <c r="K12" s="7">
        <f>ABS(C12-J12)</f>
        <v>474.19999999999982</v>
      </c>
      <c r="L12" s="8">
        <f t="shared" si="4"/>
        <v>224865.63999999984</v>
      </c>
      <c r="M12" s="5">
        <f>K12/C12</f>
        <v>9.2185069984447865E-2</v>
      </c>
    </row>
    <row r="13" spans="2:13" x14ac:dyDescent="0.3">
      <c r="B13" s="6">
        <v>43800</v>
      </c>
      <c r="C13" s="2">
        <v>6316</v>
      </c>
      <c r="D13" s="7">
        <v>5789.29</v>
      </c>
      <c r="E13" s="2">
        <f t="shared" si="1"/>
        <v>526.71</v>
      </c>
      <c r="F13" s="2">
        <f t="shared" si="0"/>
        <v>277423.42410000006</v>
      </c>
      <c r="G13" s="5">
        <f t="shared" si="2"/>
        <v>8.3392970234325528E-2</v>
      </c>
      <c r="H13" s="6">
        <v>43800</v>
      </c>
      <c r="I13" s="2">
        <v>6316</v>
      </c>
      <c r="J13" s="2">
        <f t="shared" si="3"/>
        <v>4772.6000000000004</v>
      </c>
      <c r="K13" s="7">
        <f>ABS(C13-J13)</f>
        <v>1543.3999999999996</v>
      </c>
      <c r="L13" s="8">
        <f t="shared" si="4"/>
        <v>2382083.5599999987</v>
      </c>
      <c r="M13" s="5">
        <f>K13/C13</f>
        <v>0.24436352121595942</v>
      </c>
    </row>
    <row r="14" spans="2:13" x14ac:dyDescent="0.3">
      <c r="B14" s="6">
        <v>43831</v>
      </c>
      <c r="C14" s="2">
        <v>5809</v>
      </c>
      <c r="D14" s="2">
        <v>6131</v>
      </c>
      <c r="E14" s="2">
        <f t="shared" si="1"/>
        <v>322</v>
      </c>
      <c r="F14" s="2">
        <f t="shared" si="0"/>
        <v>103684</v>
      </c>
      <c r="G14" s="5">
        <f t="shared" si="2"/>
        <v>5.5431227405749697E-2</v>
      </c>
      <c r="H14" s="6">
        <v>43831</v>
      </c>
      <c r="I14" s="2">
        <v>5809</v>
      </c>
      <c r="J14" s="2">
        <f t="shared" si="3"/>
        <v>5061.8</v>
      </c>
      <c r="K14" s="7">
        <f>ABS(C14-J14)</f>
        <v>747.19999999999982</v>
      </c>
      <c r="L14" s="8">
        <f t="shared" si="4"/>
        <v>558307.83999999973</v>
      </c>
      <c r="M14" s="5">
        <f>K14/C14</f>
        <v>0.12862799104837319</v>
      </c>
    </row>
    <row r="15" spans="2:13" x14ac:dyDescent="0.3">
      <c r="B15" s="6">
        <v>43862</v>
      </c>
      <c r="C15" s="2">
        <v>5617</v>
      </c>
      <c r="D15" s="2">
        <v>5900</v>
      </c>
      <c r="E15" s="2">
        <f t="shared" si="1"/>
        <v>283</v>
      </c>
      <c r="F15" s="2">
        <f t="shared" si="0"/>
        <v>80089</v>
      </c>
      <c r="G15" s="5">
        <f t="shared" si="2"/>
        <v>5.0382766601388643E-2</v>
      </c>
      <c r="H15" s="6">
        <v>43862</v>
      </c>
      <c r="I15" s="2">
        <v>5617</v>
      </c>
      <c r="J15" s="2">
        <f t="shared" si="3"/>
        <v>5309</v>
      </c>
      <c r="K15" s="7">
        <f>ABS(C15-J15)</f>
        <v>308</v>
      </c>
      <c r="L15" s="8">
        <f t="shared" si="4"/>
        <v>94864</v>
      </c>
      <c r="M15" s="5">
        <f>K15/C15</f>
        <v>5.4833541036140292E-2</v>
      </c>
    </row>
    <row r="16" spans="2:13" x14ac:dyDescent="0.3">
      <c r="B16" s="6">
        <v>43891</v>
      </c>
      <c r="C16" s="2">
        <v>5380</v>
      </c>
      <c r="D16" s="2">
        <v>4175</v>
      </c>
      <c r="E16" s="2">
        <f t="shared" si="1"/>
        <v>1205</v>
      </c>
      <c r="F16" s="2">
        <f t="shared" si="0"/>
        <v>1452025</v>
      </c>
      <c r="G16" s="5">
        <f t="shared" si="2"/>
        <v>0.22397769516728624</v>
      </c>
      <c r="H16" s="6">
        <v>43891</v>
      </c>
      <c r="I16" s="2">
        <v>5380</v>
      </c>
      <c r="J16" s="2">
        <f t="shared" si="3"/>
        <v>5621.4</v>
      </c>
      <c r="K16" s="7">
        <f>ABS(C16-J16)</f>
        <v>241.39999999999964</v>
      </c>
      <c r="L16" s="8">
        <f t="shared" si="4"/>
        <v>58273.959999999825</v>
      </c>
      <c r="M16" s="5">
        <f>K16/C16</f>
        <v>4.4869888475836367E-2</v>
      </c>
    </row>
    <row r="17" spans="2:13" x14ac:dyDescent="0.3">
      <c r="B17" s="6">
        <v>43922</v>
      </c>
      <c r="C17" s="2">
        <v>5469</v>
      </c>
      <c r="D17" s="2">
        <v>5100</v>
      </c>
      <c r="E17" s="2">
        <f t="shared" si="1"/>
        <v>369</v>
      </c>
      <c r="F17" s="2">
        <f t="shared" si="0"/>
        <v>136161</v>
      </c>
      <c r="G17" s="5">
        <f t="shared" si="2"/>
        <v>6.7471201316511242E-2</v>
      </c>
      <c r="H17" s="6">
        <v>43922</v>
      </c>
      <c r="I17" s="2">
        <v>5469</v>
      </c>
      <c r="J17" s="2">
        <f t="shared" si="3"/>
        <v>5653.2</v>
      </c>
      <c r="K17" s="7">
        <f>ABS(C17-J17)</f>
        <v>184.19999999999982</v>
      </c>
      <c r="L17" s="8">
        <f t="shared" si="4"/>
        <v>33929.639999999934</v>
      </c>
      <c r="M17" s="5">
        <f>K17/C17</f>
        <v>3.3680746023038916E-2</v>
      </c>
    </row>
    <row r="18" spans="2:13" x14ac:dyDescent="0.3">
      <c r="B18" s="6">
        <v>43952</v>
      </c>
      <c r="C18" s="2">
        <v>5285</v>
      </c>
      <c r="D18" s="2">
        <v>5593</v>
      </c>
      <c r="E18" s="2">
        <f t="shared" si="1"/>
        <v>308</v>
      </c>
      <c r="F18" s="2">
        <f t="shared" si="0"/>
        <v>94864</v>
      </c>
      <c r="G18" s="5">
        <f t="shared" si="2"/>
        <v>5.8278145695364242E-2</v>
      </c>
      <c r="H18" s="6">
        <v>43952</v>
      </c>
      <c r="I18" s="2">
        <v>5285</v>
      </c>
      <c r="J18" s="2">
        <f t="shared" si="3"/>
        <v>5718.2</v>
      </c>
      <c r="K18" s="7">
        <f>ABS(C18-J18)</f>
        <v>433.19999999999982</v>
      </c>
      <c r="L18" s="8">
        <f t="shared" si="4"/>
        <v>187662.23999999985</v>
      </c>
      <c r="M18" s="5">
        <f>K18/C18</f>
        <v>8.1967833491012262E-2</v>
      </c>
    </row>
    <row r="19" spans="2:13" x14ac:dyDescent="0.3">
      <c r="B19" s="6">
        <v>43983</v>
      </c>
      <c r="C19" s="2">
        <v>5371</v>
      </c>
      <c r="D19" s="2">
        <v>4956</v>
      </c>
      <c r="E19" s="2">
        <f t="shared" si="1"/>
        <v>415</v>
      </c>
      <c r="F19" s="2">
        <f t="shared" si="0"/>
        <v>172225</v>
      </c>
      <c r="G19" s="5">
        <f t="shared" si="2"/>
        <v>7.7266803202383175E-2</v>
      </c>
      <c r="H19" s="6">
        <v>43983</v>
      </c>
      <c r="I19" s="2">
        <v>5371</v>
      </c>
      <c r="J19" s="2">
        <f t="shared" si="3"/>
        <v>5512</v>
      </c>
      <c r="K19" s="7">
        <f>ABS(C19-J19)</f>
        <v>141</v>
      </c>
      <c r="L19" s="8">
        <f t="shared" si="4"/>
        <v>19881</v>
      </c>
      <c r="M19" s="5">
        <f>K19/C19</f>
        <v>2.6252094582014524E-2</v>
      </c>
    </row>
    <row r="20" spans="2:13" x14ac:dyDescent="0.3">
      <c r="B20" s="6">
        <v>44013</v>
      </c>
      <c r="C20" s="2">
        <v>4953</v>
      </c>
      <c r="D20" s="2">
        <v>5287</v>
      </c>
      <c r="E20" s="2">
        <f t="shared" si="1"/>
        <v>334</v>
      </c>
      <c r="F20" s="2">
        <f t="shared" si="0"/>
        <v>111556</v>
      </c>
      <c r="G20" s="5">
        <f t="shared" si="2"/>
        <v>6.7433878457500498E-2</v>
      </c>
      <c r="H20" s="6">
        <v>44013</v>
      </c>
      <c r="I20" s="2">
        <v>4953</v>
      </c>
      <c r="J20" s="2">
        <f t="shared" si="3"/>
        <v>5424.4</v>
      </c>
      <c r="K20" s="7">
        <f>ABS(C20-J20)</f>
        <v>471.39999999999964</v>
      </c>
      <c r="L20" s="8">
        <f t="shared" si="4"/>
        <v>222217.95999999964</v>
      </c>
      <c r="M20" s="5">
        <f>K20/C20</f>
        <v>9.5174641631334475E-2</v>
      </c>
    </row>
    <row r="21" spans="2:13" x14ac:dyDescent="0.3">
      <c r="B21" s="6">
        <v>44044</v>
      </c>
      <c r="C21" s="7">
        <v>5315</v>
      </c>
      <c r="D21" s="2">
        <v>4800</v>
      </c>
      <c r="E21" s="2">
        <f t="shared" si="1"/>
        <v>515</v>
      </c>
      <c r="F21" s="2">
        <f t="shared" si="0"/>
        <v>265225</v>
      </c>
      <c r="G21" s="5">
        <f t="shared" si="2"/>
        <v>9.6895578551269984E-2</v>
      </c>
      <c r="H21" s="6">
        <v>44044</v>
      </c>
      <c r="I21" s="7">
        <v>5315</v>
      </c>
      <c r="J21" s="2">
        <f t="shared" si="3"/>
        <v>5291.6</v>
      </c>
      <c r="K21" s="7">
        <f>ABS(C21-J21)</f>
        <v>23.399999999999636</v>
      </c>
      <c r="L21" s="8">
        <f t="shared" si="4"/>
        <v>547.55999999998301</v>
      </c>
      <c r="M21" s="5">
        <f>K21/C21</f>
        <v>4.4026340545624907E-3</v>
      </c>
    </row>
    <row r="22" spans="2:13" x14ac:dyDescent="0.3">
      <c r="B22" s="6">
        <v>44075</v>
      </c>
      <c r="C22" s="7">
        <v>4776</v>
      </c>
      <c r="D22" s="2">
        <v>5080</v>
      </c>
      <c r="E22" s="2">
        <f t="shared" si="1"/>
        <v>304</v>
      </c>
      <c r="F22" s="2">
        <f t="shared" si="0"/>
        <v>92416</v>
      </c>
      <c r="G22" s="5">
        <f t="shared" si="2"/>
        <v>6.3651591289782247E-2</v>
      </c>
      <c r="H22" s="6">
        <v>44075</v>
      </c>
      <c r="I22" s="7">
        <v>4776</v>
      </c>
      <c r="J22" s="2">
        <f t="shared" si="3"/>
        <v>5278.6</v>
      </c>
      <c r="K22" s="7">
        <f>ABS(C22-J22)</f>
        <v>502.60000000000036</v>
      </c>
      <c r="L22" s="8">
        <f t="shared" si="4"/>
        <v>252606.76000000036</v>
      </c>
      <c r="M22" s="5">
        <f>K22/C22</f>
        <v>0.10523450586264664</v>
      </c>
    </row>
    <row r="23" spans="2:13" x14ac:dyDescent="0.3">
      <c r="B23" s="6">
        <v>44105</v>
      </c>
      <c r="C23" s="7">
        <v>5763</v>
      </c>
      <c r="D23" s="2">
        <v>5437</v>
      </c>
      <c r="E23" s="2">
        <f t="shared" si="1"/>
        <v>326</v>
      </c>
      <c r="F23" s="2">
        <f t="shared" si="0"/>
        <v>106276</v>
      </c>
      <c r="G23" s="5">
        <f t="shared" si="2"/>
        <v>5.6567759847301752E-2</v>
      </c>
      <c r="H23" s="6">
        <v>44105</v>
      </c>
      <c r="I23" s="7">
        <v>5763</v>
      </c>
      <c r="J23" s="2">
        <f t="shared" si="3"/>
        <v>5140</v>
      </c>
      <c r="K23" s="7">
        <f>ABS(C23-J23)</f>
        <v>623</v>
      </c>
      <c r="L23" s="8">
        <f t="shared" si="4"/>
        <v>388129</v>
      </c>
      <c r="M23" s="5">
        <f>K23/C23</f>
        <v>0.10810341835849384</v>
      </c>
    </row>
    <row r="24" spans="2:13" x14ac:dyDescent="0.3">
      <c r="B24" s="6">
        <v>44136</v>
      </c>
      <c r="C24" s="7">
        <v>5389</v>
      </c>
      <c r="D24" s="2">
        <v>5625</v>
      </c>
      <c r="E24" s="2">
        <f t="shared" si="1"/>
        <v>236</v>
      </c>
      <c r="F24" s="2">
        <f t="shared" si="0"/>
        <v>55696</v>
      </c>
      <c r="G24" s="5">
        <f t="shared" si="2"/>
        <v>4.3792911486361108E-2</v>
      </c>
      <c r="H24" s="6">
        <v>44136</v>
      </c>
      <c r="I24" s="7">
        <v>5389</v>
      </c>
      <c r="J24" s="2">
        <f t="shared" si="3"/>
        <v>5235.6000000000004</v>
      </c>
      <c r="K24" s="7">
        <f>ABS(C24-J24)</f>
        <v>153.39999999999964</v>
      </c>
      <c r="L24" s="8">
        <f t="shared" si="4"/>
        <v>23531.559999999889</v>
      </c>
      <c r="M24" s="5">
        <f>K24/C24</f>
        <v>2.8465392466134651E-2</v>
      </c>
    </row>
    <row r="25" spans="2:13" x14ac:dyDescent="0.3">
      <c r="B25" s="6">
        <v>44166</v>
      </c>
      <c r="C25" s="7">
        <v>6233</v>
      </c>
      <c r="D25" s="2">
        <v>6600</v>
      </c>
      <c r="E25" s="2">
        <f t="shared" si="1"/>
        <v>367</v>
      </c>
      <c r="F25" s="2">
        <f t="shared" si="0"/>
        <v>134689</v>
      </c>
      <c r="G25" s="5">
        <f t="shared" si="2"/>
        <v>5.8880154018931492E-2</v>
      </c>
      <c r="H25" s="6">
        <v>44166</v>
      </c>
      <c r="I25" s="7">
        <v>6233</v>
      </c>
      <c r="J25" s="2">
        <f t="shared" si="3"/>
        <v>5239.2</v>
      </c>
      <c r="K25" s="7">
        <f>ABS(C25-J25)</f>
        <v>993.80000000000018</v>
      </c>
      <c r="L25" s="8">
        <f t="shared" si="4"/>
        <v>987638.44000000041</v>
      </c>
      <c r="M25" s="5">
        <f>K25/C25</f>
        <v>0.1594416813733355</v>
      </c>
    </row>
    <row r="26" spans="2:13" x14ac:dyDescent="0.3">
      <c r="B26" s="6"/>
      <c r="C26" s="7"/>
      <c r="D26" s="2"/>
      <c r="E26" s="2"/>
      <c r="F26" s="2"/>
      <c r="G26" s="5"/>
      <c r="H26" s="5"/>
      <c r="I26" s="5"/>
      <c r="J26" s="2"/>
      <c r="K26" s="2"/>
      <c r="L26" s="2"/>
      <c r="M26" s="2"/>
    </row>
    <row r="27" spans="2:13" x14ac:dyDescent="0.3">
      <c r="B27" s="6"/>
      <c r="C27" s="7"/>
      <c r="D27" s="2" t="s">
        <v>4</v>
      </c>
      <c r="E27" s="2">
        <f>SUM(E7:E25)/COUNT(E7:E25)</f>
        <v>508.09</v>
      </c>
      <c r="F27" s="2"/>
      <c r="G27" s="2"/>
      <c r="H27" s="2"/>
      <c r="I27" s="2"/>
      <c r="J27" s="2"/>
      <c r="K27" s="2" t="s">
        <v>4</v>
      </c>
      <c r="L27" s="2">
        <f>SUM(K7:K25)/COUNT(K7:K25)</f>
        <v>495.12631578947355</v>
      </c>
      <c r="M27" s="2"/>
    </row>
    <row r="28" spans="2:13" x14ac:dyDescent="0.3">
      <c r="B28" s="6"/>
      <c r="C28" s="7"/>
      <c r="D28" s="2" t="s">
        <v>5</v>
      </c>
      <c r="E28" s="2">
        <f>SUM(F7:F25)/(COUNT(F7:F25)-1)</f>
        <v>378018.91245</v>
      </c>
      <c r="F28" s="2"/>
      <c r="G28" s="2"/>
      <c r="H28" s="2"/>
      <c r="I28" s="2"/>
      <c r="J28" s="2"/>
      <c r="K28" s="2" t="s">
        <v>5</v>
      </c>
      <c r="L28" s="2">
        <f>SUM(L7:L25)/(COUNT(K7:K25)-1)</f>
        <v>386540.45555555547</v>
      </c>
      <c r="M28" s="2"/>
    </row>
    <row r="29" spans="2:13" x14ac:dyDescent="0.3">
      <c r="B29" s="6"/>
      <c r="C29" s="7"/>
      <c r="D29" s="2" t="s">
        <v>6</v>
      </c>
      <c r="E29" s="5">
        <f>SUM(G7:G25)</f>
        <v>1.8898409727846981</v>
      </c>
      <c r="F29" s="2"/>
      <c r="G29" s="2"/>
      <c r="H29" s="2"/>
      <c r="I29" s="2"/>
      <c r="J29" s="2"/>
      <c r="K29" s="2" t="s">
        <v>9</v>
      </c>
      <c r="L29" s="5">
        <f>SUM(M7:M25)</f>
        <v>1.7751002616498766</v>
      </c>
      <c r="M2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MA3</vt:lpstr>
      <vt:lpstr>MA5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kashif yousaf</cp:lastModifiedBy>
  <dcterms:created xsi:type="dcterms:W3CDTF">2021-12-13T10:25:12Z</dcterms:created>
  <dcterms:modified xsi:type="dcterms:W3CDTF">2021-12-16T07:47:05Z</dcterms:modified>
</cp:coreProperties>
</file>